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NSI\Downloads\excel\"/>
    </mc:Choice>
  </mc:AlternateContent>
  <xr:revisionPtr revIDLastSave="0" documentId="13_ncr:1_{5E4D345D-36EA-47BB-988E-66EE602C14D3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definedNames>
    <definedName name="Bdata">Break!$A:$I</definedName>
    <definedName name="Edata">Efficiency!$A:$Q</definedName>
    <definedName name="Pdata">'Overall performance'!$A:$J</definedName>
    <definedName name="summary">Summary!$A:$G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</calcChain>
</file>

<file path=xl/sharedStrings.xml><?xml version="1.0" encoding="utf-8"?>
<sst xmlns="http://schemas.openxmlformats.org/spreadsheetml/2006/main" count="2608" uniqueCount="1020">
  <si>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</si>
  <si>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</si>
  <si>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</si>
  <si>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</si>
  <si>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</si>
  <si>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</si>
  <si>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</si>
  <si>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</si>
  <si>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</si>
  <si>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</si>
  <si>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</si>
  <si>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</si>
  <si>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</si>
  <si>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</si>
  <si>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</si>
  <si>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</si>
  <si>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</si>
  <si>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</si>
  <si>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</si>
  <si>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</si>
  <si>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</si>
  <si>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</si>
  <si>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</si>
  <si>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</si>
  <si>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</si>
  <si>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</si>
  <si>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</si>
  <si>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</si>
  <si>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</si>
  <si>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</si>
  <si>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</si>
  <si>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</si>
  <si>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</si>
  <si>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</si>
  <si>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</si>
  <si>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</si>
  <si>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</si>
  <si>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</si>
  <si>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</si>
  <si>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</si>
  <si>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</si>
  <si>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</si>
  <si>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</si>
  <si>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</si>
  <si>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</si>
  <si>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</si>
  <si>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</si>
  <si>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</si>
  <si>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</si>
  <si>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</si>
  <si>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</si>
  <si>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</si>
  <si>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</si>
  <si>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</si>
  <si>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</si>
  <si>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</si>
  <si>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</si>
  <si>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</si>
  <si>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</si>
  <si>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</si>
  <si>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</si>
  <si>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</si>
  <si>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</si>
  <si>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</si>
  <si>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</si>
  <si>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</si>
  <si>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</si>
  <si>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</si>
  <si>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</si>
  <si>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</si>
  <si>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</si>
  <si>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</si>
  <si>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</si>
  <si>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</si>
  <si>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</si>
  <si>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</si>
  <si>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</si>
  <si>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</si>
  <si>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</si>
  <si>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</si>
  <si>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</si>
  <si>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</si>
  <si>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</si>
  <si>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</si>
  <si>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</si>
  <si>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</si>
  <si>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</si>
  <si>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</si>
  <si>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</si>
  <si>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</si>
  <si>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</si>
  <si>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</si>
  <si>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</si>
  <si>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</si>
  <si>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</si>
  <si>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</si>
  <si>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</si>
  <si>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</si>
  <si>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</si>
  <si>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</si>
  <si>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</si>
  <si>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</si>
  <si>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</si>
  <si>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</si>
  <si>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</si>
  <si>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</si>
  <si>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</si>
  <si>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</si>
  <si>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</si>
  <si>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</si>
  <si>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</si>
  <si>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</si>
  <si>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</si>
  <si>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</si>
  <si>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</si>
  <si>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</si>
  <si>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</si>
  <si>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</si>
  <si>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</si>
  <si>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</si>
  <si>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</si>
  <si>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</si>
  <si>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</si>
  <si>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</si>
  <si>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</si>
  <si>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</si>
  <si>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</si>
  <si>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</si>
  <si>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</si>
  <si>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</si>
  <si>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</si>
  <si>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</si>
  <si>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</si>
  <si>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</si>
  <si>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</si>
  <si>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</si>
  <si>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</si>
  <si>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</si>
  <si>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</si>
  <si>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</si>
  <si>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</si>
  <si>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</si>
  <si>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</si>
  <si>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</si>
  <si>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</si>
  <si>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</si>
  <si>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</si>
  <si>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</si>
  <si>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</si>
  <si>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</si>
  <si>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</si>
  <si>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</si>
  <si>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</si>
  <si>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</si>
  <si>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</si>
  <si>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</si>
  <si>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</si>
  <si>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</si>
  <si>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</si>
  <si>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</si>
  <si>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</si>
  <si>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</si>
  <si>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</si>
  <si>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</si>
  <si>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</si>
  <si>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</si>
  <si>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</si>
  <si>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</si>
  <si>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</si>
  <si>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</si>
  <si>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</si>
  <si>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</si>
  <si>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</si>
  <si>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</si>
  <si>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</si>
  <si>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</si>
  <si>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</si>
  <si>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</si>
  <si>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</si>
  <si>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</si>
  <si>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</si>
  <si>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</si>
  <si>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</si>
  <si>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</si>
  <si>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</si>
  <si>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</si>
  <si>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</si>
  <si>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</si>
  <si>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</si>
  <si>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</si>
  <si>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</si>
  <si>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</si>
  <si>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</si>
  <si>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</si>
  <si>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</si>
  <si>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</si>
  <si>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</si>
  <si>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</si>
  <si>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</si>
  <si>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</si>
  <si>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</si>
  <si>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</si>
  <si>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</si>
  <si>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</si>
  <si>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</si>
  <si>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</si>
  <si>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</si>
  <si>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</si>
  <si>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</si>
  <si>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</si>
  <si>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</si>
  <si>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</si>
  <si>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</si>
  <si>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</si>
  <si>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</si>
  <si>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</si>
  <si>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</si>
  <si>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</si>
  <si>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</si>
  <si>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</si>
  <si>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</si>
  <si>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</si>
  <si>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</si>
  <si>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</si>
  <si>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</si>
  <si>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</si>
  <si>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</si>
  <si>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</si>
  <si>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</si>
  <si>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</si>
  <si>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</si>
  <si>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</si>
  <si>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</si>
  <si>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</si>
  <si>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</si>
  <si>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</si>
  <si>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</si>
  <si>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</si>
  <si>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</si>
  <si>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</si>
  <si>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</si>
  <si>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</si>
  <si>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</si>
  <si>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</si>
  <si>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</si>
  <si>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</si>
  <si>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</si>
  <si>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</si>
  <si>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</si>
  <si>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</si>
  <si>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</si>
  <si>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</si>
  <si>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</si>
  <si>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</si>
  <si>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</si>
  <si>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</si>
  <si>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</si>
  <si>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</si>
  <si>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</si>
  <si>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</si>
  <si>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</si>
  <si>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</si>
  <si>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</si>
  <si>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</si>
  <si>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</si>
  <si>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</si>
  <si>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</si>
  <si>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</si>
  <si>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</si>
  <si>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</si>
  <si>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</si>
  <si>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</si>
  <si>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</si>
  <si>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</si>
  <si>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</si>
  <si>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</si>
  <si>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</si>
  <si>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</si>
  <si>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</si>
  <si>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</si>
  <si>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</si>
  <si>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</si>
  <si>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</si>
  <si>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</si>
  <si>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</si>
  <si>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</si>
  <si>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</si>
  <si>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</si>
  <si>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</si>
  <si>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</si>
  <si>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</si>
  <si>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</si>
  <si>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</si>
  <si>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</si>
  <si>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</si>
  <si>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</si>
  <si>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</si>
  <si>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</si>
  <si>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</si>
  <si>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</si>
  <si>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</si>
  <si>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</si>
  <si>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</si>
  <si>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</si>
  <si>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</si>
  <si>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</si>
  <si>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</si>
  <si>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</si>
  <si>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</si>
  <si>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</si>
  <si>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</si>
  <si>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</si>
  <si>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</si>
  <si>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</si>
  <si>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</si>
  <si>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</si>
  <si>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</si>
  <si>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</si>
  <si>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</si>
  <si>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</si>
  <si>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</si>
  <si>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</si>
  <si>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</si>
  <si>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</si>
  <si>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</si>
  <si>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</si>
  <si>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</si>
  <si>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</si>
  <si>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</si>
  <si>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</si>
  <si>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</si>
  <si>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</si>
  <si>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</si>
  <si>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</si>
  <si>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</si>
  <si>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</si>
  <si>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</si>
  <si>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</si>
  <si>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</si>
  <si>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</si>
  <si>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</si>
  <si>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</si>
  <si>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</si>
  <si>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</si>
  <si>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</si>
  <si>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</si>
  <si>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</si>
  <si>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</si>
  <si>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</si>
  <si>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</si>
  <si>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</si>
  <si>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</si>
  <si>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</si>
  <si>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</si>
  <si>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</si>
  <si>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</si>
  <si>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</si>
  <si>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</si>
  <si>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</si>
  <si>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</si>
  <si>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</si>
  <si>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</si>
  <si>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</si>
  <si>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</si>
  <si>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</si>
  <si>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</si>
  <si>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</si>
  <si>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</si>
  <si>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</si>
  <si>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</si>
  <si>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</si>
  <si>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</si>
  <si>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</si>
  <si>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</si>
  <si>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</si>
  <si>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</si>
  <si>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</si>
  <si>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</si>
  <si>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</si>
  <si>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</si>
  <si>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</si>
  <si>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</si>
  <si>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</si>
  <si>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</si>
  <si>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</si>
  <si>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</si>
  <si>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</si>
  <si>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</si>
  <si>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</si>
  <si>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</si>
  <si>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</si>
  <si>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</si>
  <si>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</si>
  <si>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</si>
  <si>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</si>
  <si>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</si>
  <si>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</si>
  <si>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</si>
  <si>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</si>
  <si>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</si>
  <si>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</si>
  <si>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</si>
  <si>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</si>
  <si>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</si>
  <si>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</si>
  <si>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</si>
  <si>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</si>
  <si>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</si>
  <si>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</si>
  <si>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</si>
  <si>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</si>
  <si>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</si>
  <si>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</si>
  <si>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</si>
  <si>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</si>
  <si>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</si>
  <si>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</si>
  <si>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</si>
  <si>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</si>
  <si>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</si>
  <si>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</si>
  <si>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</si>
  <si>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</si>
  <si>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</si>
  <si>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</si>
  <si>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</si>
  <si>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</si>
  <si>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</si>
  <si>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</si>
  <si>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</si>
  <si>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</si>
  <si>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</si>
  <si>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</si>
  <si>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</si>
  <si>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</si>
  <si>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</si>
  <si>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</si>
  <si>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</si>
  <si>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</si>
  <si>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</si>
  <si>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</si>
  <si>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</si>
  <si>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</si>
  <si>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</si>
  <si>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</si>
  <si>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</si>
  <si>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</si>
  <si>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</si>
  <si>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</si>
  <si>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</si>
  <si>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</si>
  <si>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</si>
  <si>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</si>
  <si>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</si>
  <si>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</si>
  <si>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</si>
  <si>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</si>
  <si>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</si>
  <si>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</si>
  <si>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</si>
  <si>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</si>
  <si>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</si>
  <si>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</si>
  <si>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</si>
  <si>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</si>
  <si>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</si>
  <si>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</si>
  <si>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</si>
  <si>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</si>
  <si>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</si>
  <si>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</si>
  <si>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</si>
  <si>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</si>
  <si>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</si>
  <si>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</si>
  <si>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</si>
  <si>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</si>
  <si>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</si>
  <si>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</si>
  <si>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</si>
  <si>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</si>
  <si>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</si>
  <si>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</si>
  <si>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</si>
  <si>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</si>
  <si>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</si>
  <si>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</si>
  <si>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</si>
  <si>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</si>
  <si>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</si>
  <si>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</si>
  <si>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</si>
  <si>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</si>
  <si>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</si>
  <si>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</si>
  <si>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</si>
  <si>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</si>
  <si>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</si>
  <si>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</si>
  <si>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</si>
  <si>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</si>
  <si>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</si>
  <si>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</si>
  <si>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</si>
  <si>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</si>
  <si>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</si>
  <si>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</si>
  <si>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</si>
  <si>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</si>
  <si>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</si>
  <si>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</si>
  <si>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</si>
  <si>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</si>
  <si>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</si>
  <si>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</si>
  <si>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</si>
  <si>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</si>
  <si>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</si>
  <si>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</si>
  <si>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</si>
  <si>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</si>
  <si>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</si>
  <si>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</si>
  <si>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</si>
  <si>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</si>
  <si>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</si>
  <si>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</si>
  <si>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</si>
  <si>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</si>
  <si>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</si>
  <si>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</si>
  <si>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</si>
  <si>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</si>
  <si>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</si>
  <si>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</si>
  <si>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</si>
  <si>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</si>
  <si>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</si>
  <si>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</si>
  <si>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</si>
  <si>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</si>
  <si>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</si>
  <si>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</si>
  <si>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</si>
  <si>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</si>
  <si>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</si>
  <si>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</si>
  <si>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</si>
  <si>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</si>
  <si>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</si>
  <si>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</si>
  <si>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</si>
  <si>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</si>
  <si>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</si>
  <si>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</si>
  <si>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</si>
  <si>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</si>
  <si>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</si>
  <si>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</si>
  <si>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</si>
  <si>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</si>
  <si>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</si>
  <si>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</si>
  <si>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</si>
  <si>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</si>
  <si>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</si>
  <si>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</si>
  <si>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</si>
  <si>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</si>
  <si>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</si>
  <si>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</si>
  <si>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</si>
  <si>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</si>
  <si>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</si>
  <si>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</si>
  <si>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</si>
  <si>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</si>
  <si>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</si>
  <si>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</si>
  <si>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</si>
  <si>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</si>
  <si>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</si>
  <si>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</si>
  <si>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</si>
  <si>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</si>
  <si>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</si>
  <si>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</si>
  <si>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</si>
  <si>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</si>
  <si>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</si>
  <si>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</si>
  <si>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</si>
  <si>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</si>
  <si>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</si>
  <si>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</si>
  <si>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</si>
  <si>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</si>
  <si>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</si>
  <si>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</si>
  <si>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</si>
  <si>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</si>
  <si>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</si>
  <si>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</si>
  <si>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</si>
  <si>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</si>
  <si>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</si>
  <si>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</si>
  <si>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</si>
  <si>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</si>
  <si>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</si>
  <si>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</si>
  <si>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</si>
  <si>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</si>
  <si>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</si>
  <si>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</si>
  <si>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</si>
  <si>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</si>
  <si>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</si>
  <si>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</si>
  <si>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</si>
  <si>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</si>
  <si>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</si>
  <si>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</si>
  <si>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</si>
  <si>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</si>
  <si>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</si>
  <si>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</si>
  <si>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</si>
  <si>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</si>
  <si>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</si>
  <si>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</si>
  <si>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</si>
  <si>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</si>
  <si>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</si>
  <si>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</si>
  <si>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</si>
  <si>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</si>
  <si>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</si>
  <si>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</si>
  <si>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</si>
  <si>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</si>
  <si>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</si>
  <si>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</si>
  <si>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</si>
  <si>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</si>
  <si>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</si>
  <si>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</si>
  <si>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</si>
  <si>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</si>
  <si>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</si>
  <si>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</si>
  <si>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</si>
  <si>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</si>
  <si>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</si>
  <si>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</si>
  <si>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</si>
  <si>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</si>
  <si>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</si>
  <si>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</si>
  <si>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</si>
  <si>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</si>
  <si>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</si>
  <si>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</si>
  <si>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</si>
  <si>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</si>
  <si>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</si>
  <si>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</si>
  <si>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</si>
  <si>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</si>
  <si>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</si>
  <si>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</si>
  <si>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</si>
  <si>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</si>
  <si>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</si>
  <si>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</si>
  <si>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</si>
  <si>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</si>
  <si>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</si>
  <si>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</si>
  <si>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</si>
  <si>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</si>
  <si>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</si>
  <si>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</si>
  <si>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</si>
  <si>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</si>
  <si>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</si>
  <si>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</si>
  <si>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</si>
  <si>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</si>
  <si>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</si>
  <si>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</si>
  <si>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</si>
  <si>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</si>
  <si>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</si>
  <si>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</si>
  <si>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</si>
  <si>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</si>
  <si>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</si>
  <si>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</si>
  <si>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</si>
  <si>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</si>
  <si>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</si>
  <si>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</si>
  <si>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</si>
  <si>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</si>
  <si>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</si>
  <si>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</si>
  <si>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</si>
  <si>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</si>
  <si>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</si>
  <si>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</si>
  <si>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</si>
  <si>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</si>
  <si>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</si>
  <si>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</si>
  <si>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</si>
  <si>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</si>
  <si>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</si>
  <si>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</si>
  <si>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</si>
  <si>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</si>
  <si>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</si>
  <si>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</si>
  <si>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</si>
  <si>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</si>
  <si>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</si>
  <si>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</si>
  <si>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</si>
  <si>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</si>
  <si>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</si>
  <si>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</si>
  <si>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</si>
  <si>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</si>
  <si>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</si>
  <si>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</si>
  <si>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</si>
  <si>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</si>
  <si>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</si>
  <si>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</si>
  <si>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</si>
  <si>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</si>
  <si>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</si>
  <si>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</si>
  <si>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</si>
  <si>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</si>
  <si>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</si>
  <si>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</si>
  <si>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</si>
  <si>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</si>
  <si>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</si>
  <si>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</si>
  <si>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</si>
  <si>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</si>
  <si>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</si>
  <si>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</si>
  <si>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</si>
  <si>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</si>
  <si>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</si>
  <si>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</si>
  <si>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</si>
  <si>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</si>
  <si>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</si>
  <si>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</si>
  <si>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</si>
  <si>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</si>
  <si>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</si>
  <si>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</si>
  <si>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</si>
  <si>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</si>
  <si>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</si>
  <si>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</si>
  <si>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</si>
  <si>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</si>
  <si>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</si>
  <si>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</si>
  <si>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</si>
  <si>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</si>
  <si>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</si>
  <si>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</si>
  <si>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</si>
  <si>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</si>
  <si>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</si>
  <si>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</si>
  <si>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</si>
  <si>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</si>
  <si>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</si>
  <si>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</si>
  <si>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</si>
  <si>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</si>
  <si>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</si>
  <si>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</si>
  <si>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</si>
  <si>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</si>
  <si>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</si>
  <si>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</si>
  <si>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</si>
  <si>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</si>
  <si>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</si>
  <si>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</si>
  <si>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</si>
  <si>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</si>
  <si>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</si>
  <si>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</si>
  <si>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</si>
  <si>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</si>
  <si>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</si>
  <si>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</si>
  <si>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</si>
  <si>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</si>
  <si>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</si>
  <si>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</si>
  <si>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</si>
  <si>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</si>
  <si>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</si>
  <si>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</si>
  <si>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</si>
  <si>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</si>
  <si>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</si>
  <si>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</si>
  <si>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</si>
  <si>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</si>
  <si>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</si>
  <si>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</si>
  <si>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</si>
  <si>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</si>
  <si>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</si>
  <si>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</si>
  <si>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</si>
  <si>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</si>
  <si>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</si>
  <si>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</si>
  <si>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</si>
  <si>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</si>
  <si>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</si>
  <si>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</si>
  <si>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</si>
  <si>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</si>
  <si>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</si>
  <si>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</si>
  <si>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</si>
  <si>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</si>
  <si>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</si>
  <si>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</si>
  <si>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</si>
  <si>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</si>
  <si>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</si>
  <si>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</si>
  <si>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</si>
  <si>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</si>
  <si>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</si>
  <si>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</si>
  <si>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</si>
  <si>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</si>
  <si>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</si>
  <si>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</si>
  <si>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</si>
  <si>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</si>
  <si>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</si>
  <si>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</si>
  <si>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</si>
  <si>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</si>
  <si>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</si>
  <si>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</si>
  <si>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</si>
  <si>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</si>
  <si>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</si>
  <si>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</si>
  <si>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</si>
  <si>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</si>
  <si>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</si>
  <si>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</si>
  <si>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</si>
  <si>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</si>
  <si>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</si>
  <si>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</si>
  <si>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</si>
  <si>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</si>
  <si>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</si>
  <si>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</si>
  <si>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</si>
  <si>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</si>
  <si>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</si>
  <si>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</si>
  <si>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</si>
  <si>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</si>
  <si>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</si>
  <si>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</si>
  <si>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</si>
  <si>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</si>
  <si>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</si>
  <si>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</si>
  <si>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</si>
  <si>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</si>
  <si>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</si>
  <si>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</si>
  <si>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</si>
  <si>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</si>
  <si>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</si>
  <si>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</si>
  <si>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</si>
  <si>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</si>
  <si>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</si>
  <si>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</si>
  <si>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</si>
  <si>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</si>
  <si>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</si>
  <si>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</si>
  <si>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</si>
  <si>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</si>
  <si>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</si>
  <si>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</si>
  <si>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</si>
  <si>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</si>
  <si>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</si>
  <si>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</si>
  <si>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</si>
  <si>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</si>
  <si>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</si>
  <si>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</si>
  <si>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</si>
  <si>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</si>
  <si>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</si>
  <si>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</si>
  <si>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</si>
  <si>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</si>
  <si>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</si>
  <si>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</si>
  <si>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</si>
  <si>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</si>
  <si>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</si>
  <si>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</si>
  <si>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</si>
  <si>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</si>
  <si>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</si>
  <si>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</si>
  <si>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</si>
  <si>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</si>
  <si>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</si>
  <si>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</si>
  <si>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</si>
  <si>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</si>
  <si>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</si>
  <si>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</si>
  <si>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</si>
  <si>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</si>
  <si>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</si>
  <si>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</si>
  <si>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</si>
  <si>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</si>
  <si>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</si>
  <si>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</si>
  <si>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</si>
  <si>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</si>
  <si>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</si>
  <si>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</si>
  <si>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</si>
  <si>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</si>
  <si>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</si>
  <si>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</si>
  <si>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</si>
  <si>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</si>
  <si>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</si>
  <si>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</si>
  <si>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</si>
  <si>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</si>
  <si>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</si>
  <si>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</si>
  <si>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</si>
  <si>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</si>
  <si>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</si>
  <si>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</si>
  <si>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</si>
  <si>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</si>
  <si>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</si>
  <si>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</si>
  <si>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</si>
  <si>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</si>
  <si>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</si>
  <si>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</si>
  <si>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</si>
  <si>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</si>
  <si>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</si>
  <si>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</si>
  <si>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</si>
  <si>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</si>
  <si>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</si>
  <si>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</si>
  <si>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</si>
  <si>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</si>
  <si>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</si>
  <si>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</si>
  <si>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</si>
  <si>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</si>
  <si>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</si>
  <si>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</si>
  <si>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</si>
  <si>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</si>
  <si>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</si>
  <si>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</si>
  <si>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</si>
  <si>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</si>
  <si>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</si>
  <si>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</si>
  <si>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</si>
  <si>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Grand Total</t>
  </si>
  <si>
    <t>Ashok Kumar</t>
  </si>
  <si>
    <t>Manoj Kumar</t>
  </si>
  <si>
    <t>Rajesh Kumar</t>
  </si>
  <si>
    <t>Santosh Kumar</t>
  </si>
  <si>
    <t>Sunil Kumar</t>
  </si>
  <si>
    <t>Employee Total Number of working hours</t>
  </si>
  <si>
    <t>Report 1: Working Hours</t>
  </si>
  <si>
    <t>Tariq Akhlaq</t>
  </si>
  <si>
    <t>Tasneem Khan</t>
  </si>
  <si>
    <t>Total Active With Cust.</t>
  </si>
  <si>
    <t>Report 2: Active Customers</t>
  </si>
  <si>
    <t>Total Calls Attended</t>
  </si>
  <si>
    <t>Anjali Deoram</t>
  </si>
  <si>
    <t>Sheena Joseph</t>
  </si>
  <si>
    <t xml:space="preserve">Report 3: Calls Attended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</si>
</sst>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7" fillId="5" borderId="0" applyNumberFormat="0" applyBorder="0" applyAlignment="0" applyProtection="0"/>
    <xf numFmtId="0" fontId="1" fillId="6" borderId="0" applyNumberFormat="0" applyBorder="0" applyAlignment="0" applyProtection="0"/>
  </cellStyleXfs>
  <cellXfs count="27">
    <xf numFmtId="0" fontId="0" fillId="0" borderId="0" xfId="0"/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165" fontId="6" fillId="0" borderId="2" xfId="0" applyNumberFormat="1" applyFont="1" applyBorder="1" applyAlignment="1">
      <alignment horizontal="right" vertical="top" wrapText="1"/>
    </xf>
    <xf numFmtId="1" fontId="0" fillId="0" borderId="0" xfId="0" applyNumberFormat="1"/>
    <xf numFmtId="10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8" fillId="4" borderId="0" xfId="3" applyFont="1" applyFill="1"/>
    <xf numFmtId="0" fontId="0" fillId="4" borderId="0" xfId="0" applyFill="1"/>
    <xf numFmtId="0" fontId="8" fillId="7" borderId="0" xfId="0" applyFont="1" applyFill="1"/>
    <xf numFmtId="0" fontId="8" fillId="7" borderId="0" xfId="3" applyFont="1" applyFill="1"/>
    <xf numFmtId="0" fontId="8" fillId="4" borderId="0" xfId="0" applyFont="1" applyFill="1"/>
    <xf numFmtId="0" fontId="9" fillId="4" borderId="0" xfId="0" applyFont="1" applyFill="1"/>
    <xf numFmtId="0" fontId="7" fillId="4" borderId="0" xfId="3" applyFont="1" applyFill="1"/>
    <xf numFmtId="0" fontId="9" fillId="8" borderId="0" xfId="0" applyFont="1" applyFill="1" applyAlignment="1">
      <alignment horizontal="center"/>
    </xf>
    <xf numFmtId="0" fontId="9" fillId="8" borderId="0" xfId="2" applyFont="1" applyFill="1" applyAlignment="1">
      <alignment horizontal="center"/>
    </xf>
  </cellXfs>
  <cellStyles count="4">
    <cellStyle name="20% - Accent4" xfId="3" builtinId="42"/>
    <cellStyle name="Accent1" xfId="2" builtinId="29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[Dashboard 1 call centre.xlsm]Dashboard!PivotTable1</c:name>
    <c:fmtId val="0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Dashboard!$B$5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Dashboard!$A$6:$A$13</c:f>
              <c:strCache>
                <c:ptCount val="7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</c:strCache>
            </c:strRef>
          </c:cat>
          <c:val>
            <c:numRef>
              <c:f>Dashboard!$B$6:$B$13</c:f>
              <c:numCache>
                <c:formatCode>[$-F400]h:mm:ss\ AM/PM</c:formatCode>
                <c:ptCount val="7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88-49F5-8DAA-3EAC8F4491D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345758655"/>
        <c:axId val="345759135"/>
      </c:barChart>
      <c:catAx>
        <c:axId val="34575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759135"/>
        <c:crosses val="autoZero"/>
        <c:auto val="1"/>
        <c:lblAlgn val="ctr"/>
        <c:lblOffset val="100"/>
        <c:noMultiLvlLbl val="0"/>
      </c:catAx>
      <c:valAx>
        <c:axId val="345759135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345758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1 call centre.xlsm]Dashboard!PivotTable2</c:name>
    <c:fmtId val="3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4.2696622288141126E-2"/>
              <c:y val="9.499994059753598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0486881574866466E-2"/>
              <c:y val="-1.0244973282262012E-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Dashboard!$F$5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2EF-4B33-AEE8-F408B08C74C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2EF-4B33-AEE8-F408B08C74C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C7B-48CA-9630-FE618BF4E0F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C7B-48CA-9630-FE618BF4E0F1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C7B-48CA-9630-FE618BF4E0F1}"/>
              </c:ext>
            </c:extLst>
          </c:dPt>
          <c:dLbls>
            <c:dLbl>
              <c:idx val="1"/>
              <c:layout>
                <c:manualLayout>
                  <c:x val="6.0486881574866466E-2"/>
                  <c:y val="-1.0244973282262012E-1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EF-4B33-AEE8-F408B08C74C0}"/>
                </c:ext>
              </c:extLst>
            </c:dLbl>
            <c:dLbl>
              <c:idx val="3"/>
              <c:layout>
                <c:manualLayout>
                  <c:x val="-4.2696622288141126E-2"/>
                  <c:y val="9.499994059753598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7B-48CA-9630-FE618BF4E0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Dashboard!$E$6:$E$11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Dashboard!$F$6:$F$11</c:f>
              <c:numCache>
                <c:formatCode>0.00%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F-4B33-AEE8-F408B08C7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1 call centre.xlsm]Dashboard!PivotTable3</c:name>
    <c:fmtId val="7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Dashboard!$L$5</c:f>
              <c:strCache>
                <c:ptCount val="1"/>
                <c:pt idx="0">
                  <c:v>Total</c:v>
                </c:pt>
              </c:strCache>
            </c:strRef>
          </c:tx>
          <c:explosion val="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600-4584-B808-23F638BFCA6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600-4584-B808-23F638BFCA6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600-4584-B808-23F638BFCA6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5FF-46C5-9CB0-3DD530CF9CB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5FF-46C5-9CB0-3DD530CF9CB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78C-4C89-B955-D4CE4EF0EC94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78C-4C89-B955-D4CE4EF0EC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Dashboard!$K$6:$K$11</c:f>
              <c:strCache>
                <c:ptCount val="5"/>
                <c:pt idx="0">
                  <c:v>Ashok Kumar</c:v>
                </c:pt>
                <c:pt idx="1">
                  <c:v>Santosh Kumar</c:v>
                </c:pt>
                <c:pt idx="2">
                  <c:v>Sunil Kumar</c:v>
                </c:pt>
                <c:pt idx="3">
                  <c:v>Tariq Akhlaq</c:v>
                </c:pt>
                <c:pt idx="4">
                  <c:v>Tasneem Khan</c:v>
                </c:pt>
              </c:strCache>
            </c:strRef>
          </c:cat>
          <c:val>
            <c:numRef>
              <c:f>Dashboard!$L$6:$L$11</c:f>
              <c:numCache>
                <c:formatCode>0</c:formatCode>
                <c:ptCount val="5"/>
                <c:pt idx="0">
                  <c:v>322</c:v>
                </c:pt>
                <c:pt idx="1">
                  <c:v>222</c:v>
                </c:pt>
                <c:pt idx="2">
                  <c:v>185</c:v>
                </c:pt>
                <c:pt idx="3">
                  <c:v>106</c:v>
                </c:pt>
                <c:pt idx="4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00-4584-B808-23F638BFC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Spin" dx="26" fmlaLink="$C$1" max="30000" min="1" page="10" val="7"/>
</file>

<file path=xl/ctrlProps/ctrlProp2.xml><?xml version="1.0" encoding="utf-8"?>
<formControlPr xmlns="http://schemas.microsoft.com/office/spreadsheetml/2009/9/main" objectType="Spin" dx="26" fmlaLink="$C$1" max="30000" min="1" page="10" val="7"/>
</file>

<file path=xl/ctrlProps/ctrlProp3.xml><?xml version="1.0" encoding="utf-8"?>
<formControlPr xmlns="http://schemas.microsoft.com/office/spreadsheetml/2009/9/main" objectType="Spin" dx="26" fmlaLink="$C$2" max="30000" min="1" page="10" val="5"/>
</file>

<file path=xl/ctrlProps/ctrlProp4.xml><?xml version="1.0" encoding="utf-8"?>
<formControlPr xmlns="http://schemas.microsoft.com/office/spreadsheetml/2009/9/main" objectType="Spin" dx="26" fmlaLink="$C$2" max="30000" min="1" page="10" val="5"/>
</file>

<file path=xl/ctrlProps/ctrlProp5.xml><?xml version="1.0" encoding="utf-8"?>
<formControlPr xmlns="http://schemas.microsoft.com/office/spreadsheetml/2009/9/main" objectType="Spin" dx="26" fmlaLink="$C$2" max="30000" min="1" page="10" val="5"/>
</file>

<file path=xl/ctrlProps/ctrlProp6.xml><?xml version="1.0" encoding="utf-8"?>
<formControlPr xmlns="http://schemas.microsoft.com/office/spreadsheetml/2009/9/main" objectType="Spin" dx="26" fmlaLink="$C$3" max="30000" min="1" page="10" val="5"/>
</file>

<file path=xl/ctrlProps/ctrlProp7.xml><?xml version="1.0" encoding="utf-8"?>
<formControlPr xmlns="http://schemas.microsoft.com/office/spreadsheetml/2009/9/main" objectType="Spin" dx="26" fmlaLink="$C$3" max="30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788735</xdr:colOff>
      <xdr:row>0</xdr:row>
      <xdr:rowOff>100263</xdr:rowOff>
    </xdr:from>
    <xdr:to>
      <xdr:col>5</xdr:col>
      <xdr:colOff>1223210</xdr:colOff>
      <xdr:row>2</xdr:row>
      <xdr:rowOff>60160</xdr:rowOff>
    </xdr:to>
    <xdr:sp macro="" textlink="$C$2">
      <xdr:nvSpPr>
        <xdr:cNvPr id="11" name="Rectangle 10">
          <a:extLst>
            <a:ext uri="{FF2B5EF4-FFF2-40B4-BE49-F238E27FC236}">
              <a16:creationId xmlns:a16="http://schemas.microsoft.com/office/drawing/2014/main" id="{6183AE33-EFFC-4C1A-A7CB-033F3208721D}"/>
            </a:ext>
          </a:extLst>
        </xdr:cNvPr>
        <xdr:cNvSpPr/>
      </xdr:nvSpPr>
      <xdr:spPr>
        <a:xfrm>
          <a:off x="6069261" y="100263"/>
          <a:ext cx="434475" cy="32084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FB43073A-0284-4CE9-8CB5-441556DD881A}" type="TxLink">
            <a:rPr lang="en-US" sz="1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</a:t>
          </a:fld>
          <a:endParaRPr lang="en-IN" sz="18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795421</xdr:colOff>
      <xdr:row>0</xdr:row>
      <xdr:rowOff>86894</xdr:rowOff>
    </xdr:from>
    <xdr:to>
      <xdr:col>1</xdr:col>
      <xdr:colOff>1265054</xdr:colOff>
      <xdr:row>2</xdr:row>
      <xdr:rowOff>56949</xdr:rowOff>
    </xdr:to>
    <xdr:sp macro="" textlink="$C$1">
      <xdr:nvSpPr>
        <xdr:cNvPr id="5" name="Rectangle 4">
          <a:extLst>
            <a:ext uri="{FF2B5EF4-FFF2-40B4-BE49-F238E27FC236}">
              <a16:creationId xmlns:a16="http://schemas.microsoft.com/office/drawing/2014/main" id="{2E527A80-DD4C-36AB-328F-F66DC47D1622}"/>
            </a:ext>
          </a:extLst>
        </xdr:cNvPr>
        <xdr:cNvSpPr/>
      </xdr:nvSpPr>
      <xdr:spPr>
        <a:xfrm>
          <a:off x="1717842" y="86894"/>
          <a:ext cx="469633" cy="33100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54544CCF-5E95-4B63-BF2C-5F88824D603B}" type="TxLink">
            <a:rPr lang="en-US" sz="1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</a:t>
          </a:fld>
          <a:endParaRPr lang="en-IN" sz="1800"/>
        </a:p>
      </xdr:txBody>
    </xdr:sp>
    <xdr:clientData/>
  </xdr:twoCellAnchor>
  <xdr:twoCellAnchor>
    <xdr:from>
      <xdr:col>0</xdr:col>
      <xdr:colOff>0</xdr:colOff>
      <xdr:row>11</xdr:row>
      <xdr:rowOff>57150</xdr:rowOff>
    </xdr:from>
    <xdr:to>
      <xdr:col>2</xdr:col>
      <xdr:colOff>548105</xdr:colOff>
      <xdr:row>26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78B8FF-F7BD-05EB-8B87-FA6B4AED2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33421</xdr:colOff>
      <xdr:row>0</xdr:row>
      <xdr:rowOff>86494</xdr:rowOff>
    </xdr:from>
    <xdr:to>
      <xdr:col>0</xdr:col>
      <xdr:colOff>914400</xdr:colOff>
      <xdr:row>2</xdr:row>
      <xdr:rowOff>48394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24820E6E-721F-91DF-1BAF-D75E0A7920C1}"/>
            </a:ext>
          </a:extLst>
        </xdr:cNvPr>
        <xdr:cNvSpPr/>
      </xdr:nvSpPr>
      <xdr:spPr>
        <a:xfrm>
          <a:off x="33421" y="86494"/>
          <a:ext cx="880979" cy="327660"/>
        </a:xfrm>
        <a:prstGeom prst="rightArrow">
          <a:avLst>
            <a:gd name="adj1" fmla="val 100000"/>
            <a:gd name="adj2" fmla="val 56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CHART</a:t>
          </a:r>
        </a:p>
      </xdr:txBody>
    </xdr:sp>
    <xdr:clientData/>
  </xdr:twoCellAnchor>
  <xdr:twoCellAnchor editAs="oneCell">
    <xdr:from>
      <xdr:col>1</xdr:col>
      <xdr:colOff>103070</xdr:colOff>
      <xdr:row>0</xdr:row>
      <xdr:rowOff>99541</xdr:rowOff>
    </xdr:from>
    <xdr:to>
      <xdr:col>1</xdr:col>
      <xdr:colOff>581526</xdr:colOff>
      <xdr:row>2</xdr:row>
      <xdr:rowOff>31078</xdr:rowOff>
    </xdr:to>
    <xdr:pic macro="[0]!Hide_chart1">
      <xdr:nvPicPr>
        <xdr:cNvPr id="7" name="Picture 6">
          <a:extLst>
            <a:ext uri="{FF2B5EF4-FFF2-40B4-BE49-F238E27FC236}">
              <a16:creationId xmlns:a16="http://schemas.microsoft.com/office/drawing/2014/main" id="{DE330F65-ED5E-B15B-2C87-6AA77CFEE8B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256" r="49760" b="25387"/>
        <a:stretch>
          <a:fillRect/>
        </a:stretch>
      </xdr:blipFill>
      <xdr:spPr bwMode="auto">
        <a:xfrm>
          <a:off x="1025491" y="99541"/>
          <a:ext cx="478456" cy="29248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40106</xdr:colOff>
      <xdr:row>0</xdr:row>
      <xdr:rowOff>97991</xdr:rowOff>
    </xdr:from>
    <xdr:to>
      <xdr:col>1</xdr:col>
      <xdr:colOff>561474</xdr:colOff>
      <xdr:row>2</xdr:row>
      <xdr:rowOff>44651</xdr:rowOff>
    </xdr:to>
    <xdr:pic macro="[0]!Show_chart1">
      <xdr:nvPicPr>
        <xdr:cNvPr id="8" name="Picture 7" hidden="1">
          <a:extLst>
            <a:ext uri="{FF2B5EF4-FFF2-40B4-BE49-F238E27FC236}">
              <a16:creationId xmlns:a16="http://schemas.microsoft.com/office/drawing/2014/main" id="{AA3B843B-D348-B2F0-7B80-14C08D1F2CD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339" t="23449" r="-485" b="21124"/>
        <a:stretch>
          <a:fillRect/>
        </a:stretch>
      </xdr:blipFill>
      <xdr:spPr bwMode="auto">
        <a:xfrm>
          <a:off x="962527" y="97991"/>
          <a:ext cx="521368" cy="30760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0</xdr:row>
          <xdr:rowOff>121920</xdr:rowOff>
        </xdr:from>
        <xdr:to>
          <xdr:col>1</xdr:col>
          <xdr:colOff>944880</xdr:colOff>
          <xdr:row>2</xdr:row>
          <xdr:rowOff>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1340184</xdr:colOff>
      <xdr:row>0</xdr:row>
      <xdr:rowOff>87831</xdr:rowOff>
    </xdr:from>
    <xdr:to>
      <xdr:col>1</xdr:col>
      <xdr:colOff>2406316</xdr:colOff>
      <xdr:row>2</xdr:row>
      <xdr:rowOff>52137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D1FCFF0B-718A-41E3-8598-04DAE790A6C9}"/>
            </a:ext>
          </a:extLst>
        </xdr:cNvPr>
        <xdr:cNvSpPr/>
      </xdr:nvSpPr>
      <xdr:spPr>
        <a:xfrm flipH="1">
          <a:off x="2262605" y="87831"/>
          <a:ext cx="1066132" cy="325253"/>
        </a:xfrm>
        <a:prstGeom prst="rightArrow">
          <a:avLst>
            <a:gd name="adj1" fmla="val 100000"/>
            <a:gd name="adj2" fmla="val 56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11</xdr:row>
          <xdr:rowOff>129540</xdr:rowOff>
        </xdr:from>
        <xdr:to>
          <xdr:col>2</xdr:col>
          <xdr:colOff>243840</xdr:colOff>
          <xdr:row>13</xdr:row>
          <xdr:rowOff>60960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354263</xdr:colOff>
      <xdr:row>0</xdr:row>
      <xdr:rowOff>113632</xdr:rowOff>
    </xdr:from>
    <xdr:to>
      <xdr:col>4</xdr:col>
      <xdr:colOff>761999</xdr:colOff>
      <xdr:row>2</xdr:row>
      <xdr:rowOff>75532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15DDC3-C5A4-462B-AA98-D88A29602846}"/>
            </a:ext>
          </a:extLst>
        </xdr:cNvPr>
        <xdr:cNvSpPr/>
      </xdr:nvSpPr>
      <xdr:spPr>
        <a:xfrm>
          <a:off x="4104105" y="113632"/>
          <a:ext cx="1015999" cy="322847"/>
        </a:xfrm>
        <a:prstGeom prst="rightArrow">
          <a:avLst>
            <a:gd name="adj1" fmla="val 100000"/>
            <a:gd name="adj2" fmla="val 56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CHART</a:t>
          </a:r>
        </a:p>
      </xdr:txBody>
    </xdr:sp>
    <xdr:clientData/>
  </xdr:twoCellAnchor>
  <xdr:twoCellAnchor editAs="oneCell">
    <xdr:from>
      <xdr:col>4</xdr:col>
      <xdr:colOff>831917</xdr:colOff>
      <xdr:row>0</xdr:row>
      <xdr:rowOff>127000</xdr:rowOff>
    </xdr:from>
    <xdr:to>
      <xdr:col>5</xdr:col>
      <xdr:colOff>511476</xdr:colOff>
      <xdr:row>2</xdr:row>
      <xdr:rowOff>58537</xdr:rowOff>
    </xdr:to>
    <xdr:pic macro="[0]!Hide_chart13">
      <xdr:nvPicPr>
        <xdr:cNvPr id="10" name="Picture 9">
          <a:extLst>
            <a:ext uri="{FF2B5EF4-FFF2-40B4-BE49-F238E27FC236}">
              <a16:creationId xmlns:a16="http://schemas.microsoft.com/office/drawing/2014/main" id="{74899B8B-287B-4E17-833E-1A89A1FA071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256" r="49760" b="25387"/>
        <a:stretch>
          <a:fillRect/>
        </a:stretch>
      </xdr:blipFill>
      <xdr:spPr bwMode="auto">
        <a:xfrm>
          <a:off x="5190022" y="127000"/>
          <a:ext cx="586740" cy="29248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815340</xdr:colOff>
          <xdr:row>0</xdr:row>
          <xdr:rowOff>152400</xdr:rowOff>
        </xdr:from>
        <xdr:to>
          <xdr:col>5</xdr:col>
          <xdr:colOff>929640</xdr:colOff>
          <xdr:row>2</xdr:row>
          <xdr:rowOff>38100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1296733</xdr:colOff>
      <xdr:row>0</xdr:row>
      <xdr:rowOff>127001</xdr:rowOff>
    </xdr:from>
    <xdr:to>
      <xdr:col>7</xdr:col>
      <xdr:colOff>347577</xdr:colOff>
      <xdr:row>2</xdr:row>
      <xdr:rowOff>60159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17C077B4-E05C-40D2-AA69-ECD54D138286}"/>
            </a:ext>
          </a:extLst>
        </xdr:cNvPr>
        <xdr:cNvSpPr/>
      </xdr:nvSpPr>
      <xdr:spPr>
        <a:xfrm flipH="1">
          <a:off x="6577259" y="127001"/>
          <a:ext cx="1056107" cy="294105"/>
        </a:xfrm>
        <a:prstGeom prst="rightArrow">
          <a:avLst>
            <a:gd name="adj1" fmla="val 100000"/>
            <a:gd name="adj2" fmla="val 56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RECORDS</a:t>
          </a:r>
        </a:p>
      </xdr:txBody>
    </xdr:sp>
    <xdr:clientData/>
  </xdr:twoCellAnchor>
  <xdr:twoCellAnchor>
    <xdr:from>
      <xdr:col>3</xdr:col>
      <xdr:colOff>223921</xdr:colOff>
      <xdr:row>11</xdr:row>
      <xdr:rowOff>64967</xdr:rowOff>
    </xdr:from>
    <xdr:to>
      <xdr:col>8</xdr:col>
      <xdr:colOff>175795</xdr:colOff>
      <xdr:row>26</xdr:row>
      <xdr:rowOff>38233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8089A7D-F480-649C-F6A3-04EDCBAE5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828842</xdr:colOff>
      <xdr:row>0</xdr:row>
      <xdr:rowOff>106949</xdr:rowOff>
    </xdr:from>
    <xdr:to>
      <xdr:col>5</xdr:col>
      <xdr:colOff>508461</xdr:colOff>
      <xdr:row>2</xdr:row>
      <xdr:rowOff>53609</xdr:rowOff>
    </xdr:to>
    <xdr:pic macro="[0]!Module1.Show_chart13">
      <xdr:nvPicPr>
        <xdr:cNvPr id="15" name="Picture 14" hidden="1">
          <a:extLst>
            <a:ext uri="{FF2B5EF4-FFF2-40B4-BE49-F238E27FC236}">
              <a16:creationId xmlns:a16="http://schemas.microsoft.com/office/drawing/2014/main" id="{59317FEB-0F9C-4063-AA21-45CEF0E57B6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339" t="23449" r="-485" b="21124"/>
        <a:stretch>
          <a:fillRect/>
        </a:stretch>
      </xdr:blipFill>
      <xdr:spPr bwMode="auto">
        <a:xfrm>
          <a:off x="5186947" y="106949"/>
          <a:ext cx="586800" cy="30760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327660</xdr:colOff>
          <xdr:row>11</xdr:row>
          <xdr:rowOff>160020</xdr:rowOff>
        </xdr:from>
        <xdr:to>
          <xdr:col>7</xdr:col>
          <xdr:colOff>472440</xdr:colOff>
          <xdr:row>13</xdr:row>
          <xdr:rowOff>114300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868947</xdr:colOff>
      <xdr:row>0</xdr:row>
      <xdr:rowOff>86894</xdr:rowOff>
    </xdr:from>
    <xdr:to>
      <xdr:col>11</xdr:col>
      <xdr:colOff>247315</xdr:colOff>
      <xdr:row>2</xdr:row>
      <xdr:rowOff>46791</xdr:rowOff>
    </xdr:to>
    <xdr:sp macro="" textlink="$C$3">
      <xdr:nvSpPr>
        <xdr:cNvPr id="16" name="Rectangle 15">
          <a:extLst>
            <a:ext uri="{FF2B5EF4-FFF2-40B4-BE49-F238E27FC236}">
              <a16:creationId xmlns:a16="http://schemas.microsoft.com/office/drawing/2014/main" id="{C50B89B3-91A2-419E-A42F-20F19EFC6012}"/>
            </a:ext>
          </a:extLst>
        </xdr:cNvPr>
        <xdr:cNvSpPr/>
      </xdr:nvSpPr>
      <xdr:spPr>
        <a:xfrm>
          <a:off x="10293684" y="86894"/>
          <a:ext cx="507999" cy="32084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E2800592-225C-41D7-A891-FE679F3F5283}" type="TxLink">
            <a:rPr lang="en-US" sz="18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</a:t>
          </a:fld>
          <a:endParaRPr lang="en-IN" sz="18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60158</xdr:colOff>
      <xdr:row>0</xdr:row>
      <xdr:rowOff>106948</xdr:rowOff>
    </xdr:from>
    <xdr:to>
      <xdr:col>9</xdr:col>
      <xdr:colOff>919881</xdr:colOff>
      <xdr:row>2</xdr:row>
      <xdr:rowOff>68848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A78D7519-B7F8-4F7E-AAE8-18158A1627EE}"/>
            </a:ext>
          </a:extLst>
        </xdr:cNvPr>
        <xdr:cNvSpPr/>
      </xdr:nvSpPr>
      <xdr:spPr>
        <a:xfrm>
          <a:off x="8562474" y="106948"/>
          <a:ext cx="859723" cy="322847"/>
        </a:xfrm>
        <a:prstGeom prst="rightArrow">
          <a:avLst>
            <a:gd name="adj1" fmla="val 100000"/>
            <a:gd name="adj2" fmla="val 56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CHART</a:t>
          </a:r>
        </a:p>
      </xdr:txBody>
    </xdr:sp>
    <xdr:clientData/>
  </xdr:twoCellAnchor>
  <xdr:oneCellAnchor>
    <xdr:from>
      <xdr:col>10</xdr:col>
      <xdr:colOff>69916</xdr:colOff>
      <xdr:row>0</xdr:row>
      <xdr:rowOff>113631</xdr:rowOff>
    </xdr:from>
    <xdr:ext cx="586740" cy="292484"/>
    <xdr:pic macro="[0]!Hide_chart21">
      <xdr:nvPicPr>
        <xdr:cNvPr id="18" name="Picture 17">
          <a:extLst>
            <a:ext uri="{FF2B5EF4-FFF2-40B4-BE49-F238E27FC236}">
              <a16:creationId xmlns:a16="http://schemas.microsoft.com/office/drawing/2014/main" id="{36A8878F-88F3-4A87-8A14-323EE2824E9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256" r="49760" b="25387"/>
        <a:stretch>
          <a:fillRect/>
        </a:stretch>
      </xdr:blipFill>
      <xdr:spPr bwMode="auto">
        <a:xfrm>
          <a:off x="9494653" y="113631"/>
          <a:ext cx="586740" cy="292484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815340</xdr:colOff>
          <xdr:row>0</xdr:row>
          <xdr:rowOff>152400</xdr:rowOff>
        </xdr:from>
        <xdr:to>
          <xdr:col>11</xdr:col>
          <xdr:colOff>929640</xdr:colOff>
          <xdr:row>2</xdr:row>
          <xdr:rowOff>38100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340894</xdr:colOff>
      <xdr:row>0</xdr:row>
      <xdr:rowOff>113632</xdr:rowOff>
    </xdr:from>
    <xdr:to>
      <xdr:col>12</xdr:col>
      <xdr:colOff>434340</xdr:colOff>
      <xdr:row>2</xdr:row>
      <xdr:rowOff>46790</xdr:rowOff>
    </xdr:to>
    <xdr:sp macro="" textlink="">
      <xdr:nvSpPr>
        <xdr:cNvPr id="19" name="Arrow: Right 18">
          <a:extLst>
            <a:ext uri="{FF2B5EF4-FFF2-40B4-BE49-F238E27FC236}">
              <a16:creationId xmlns:a16="http://schemas.microsoft.com/office/drawing/2014/main" id="{6D9AB694-B4C8-4CA0-947E-67B209DDFDA2}"/>
            </a:ext>
          </a:extLst>
        </xdr:cNvPr>
        <xdr:cNvSpPr/>
      </xdr:nvSpPr>
      <xdr:spPr>
        <a:xfrm flipH="1">
          <a:off x="10856494" y="113632"/>
          <a:ext cx="1327886" cy="298918"/>
        </a:xfrm>
        <a:prstGeom prst="rightArrow">
          <a:avLst>
            <a:gd name="adj1" fmla="val 100000"/>
            <a:gd name="adj2" fmla="val 56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RECORDS</a:t>
          </a:r>
        </a:p>
      </xdr:txBody>
    </xdr:sp>
    <xdr:clientData/>
  </xdr:twoCellAnchor>
  <xdr:twoCellAnchor editAs="oneCell">
    <xdr:from>
      <xdr:col>10</xdr:col>
      <xdr:colOff>35826</xdr:colOff>
      <xdr:row>0</xdr:row>
      <xdr:rowOff>113632</xdr:rowOff>
    </xdr:from>
    <xdr:to>
      <xdr:col>10</xdr:col>
      <xdr:colOff>622626</xdr:colOff>
      <xdr:row>2</xdr:row>
      <xdr:rowOff>60292</xdr:rowOff>
    </xdr:to>
    <xdr:pic macro="[0]!Show_chart21">
      <xdr:nvPicPr>
        <xdr:cNvPr id="21" name="Picture 20" hidden="1">
          <a:extLst>
            <a:ext uri="{FF2B5EF4-FFF2-40B4-BE49-F238E27FC236}">
              <a16:creationId xmlns:a16="http://schemas.microsoft.com/office/drawing/2014/main" id="{714798D6-B173-4AB8-8AFF-98900450B46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339" t="23449" r="-485" b="21124"/>
        <a:stretch>
          <a:fillRect/>
        </a:stretch>
      </xdr:blipFill>
      <xdr:spPr bwMode="auto">
        <a:xfrm>
          <a:off x="9460563" y="113632"/>
          <a:ext cx="586800" cy="30760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944880</xdr:colOff>
          <xdr:row>0</xdr:row>
          <xdr:rowOff>121920</xdr:rowOff>
        </xdr:from>
        <xdr:to>
          <xdr:col>10</xdr:col>
          <xdr:colOff>1059180</xdr:colOff>
          <xdr:row>2</xdr:row>
          <xdr:rowOff>0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467894</xdr:colOff>
      <xdr:row>11</xdr:row>
      <xdr:rowOff>53474</xdr:rowOff>
    </xdr:from>
    <xdr:to>
      <xdr:col>13</xdr:col>
      <xdr:colOff>26737</xdr:colOff>
      <xdr:row>26</xdr:row>
      <xdr:rowOff>33421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948FBE9F-F150-B69C-A029-76B6775C8C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11</xdr:row>
          <xdr:rowOff>152400</xdr:rowOff>
        </xdr:from>
        <xdr:to>
          <xdr:col>12</xdr:col>
          <xdr:colOff>510540</xdr:colOff>
          <xdr:row>13</xdr:row>
          <xdr:rowOff>53340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SI" refreshedDate="46254.492889583336" createdVersion="8" refreshedVersion="8" minRefreshableVersion="3" recordCount="149" xr:uid="{016E1045-6B25-4081-870F-0FC5664BA423}">
  <cacheSource type="worksheet">
    <worksheetSource ref="A1:G150" sheet="Summary"/>
  </cacheSource>
  <cacheFields count="7">
    <cacheField name="Employee" numFmtId="0">
      <sharedItems count="149">
        <s v="Mum_Abdul Hamid (1008512)"/>
        <s v="Mum_Afzal Husain (1008513)"/>
        <s v="Mum_Anamika Gupta (1008514)"/>
        <s v="Mum_Anikuttan (1008515)"/>
        <s v="Mum_Anil Kumar (1008516)"/>
        <s v="Mum_Anita Dixit (1008517)"/>
        <s v="Mum_Anita Ghore (1008518)"/>
        <s v="Mum_Anjali Deoram (1008519)"/>
        <s v="Mum_Anjali Sahay (1008520)"/>
        <s v="Mum_Annu Latika (1008521)"/>
        <s v="Mum_Anoop Narayan (1008522)"/>
        <s v="Mum_Anoop Raj (1008523)"/>
        <s v="Mum_Anubhuti Gupta (1008524)"/>
        <s v="Mum_Arun Kumar (1008525)"/>
        <s v="Mum_Ashish Kumar (1008526)"/>
        <s v="Mum_Ashok Kumar (1008527)"/>
        <s v="Hyd_Ashok Kumar (1008528)"/>
        <s v="Hyd_Ashok Kumar (1008529)"/>
        <s v="Hyd_Ashok Kumar (1008530)"/>
        <s v="Hyd_Ashok Mahto (1008531)"/>
        <s v="Hyd_Atul Kumar (1008532)"/>
        <s v="Hyd_Azam (1008533)"/>
        <s v="Hyd_Bhagwat Singh (1008534)"/>
        <s v="Hyd_Bindu Nair (1008535)"/>
        <s v="Hyd_Daleep Singh (1008536)"/>
        <s v="Hyd_Deepak Kumar (1008537)"/>
        <s v="Hyd_Deepika Nigam (1008538)"/>
        <s v="Hyd_Dinesh Kumar (1008539)"/>
        <s v="Hyd_Hari Kumar (1008540)"/>
        <s v="Hyd_Heeramani Choudhary (1008541)"/>
        <s v="Hyd_Indra Pal (1008542)"/>
        <s v="Hyd_Indra Singh (1008543)"/>
        <s v="Hyd_Jagdish Chandra (1008544)"/>
        <s v="Hyd_Jairaj Vatham (1008545)"/>
        <s v="Hyd_Janardan Mishra (1008546)"/>
        <s v="Hyd_Jitendra Kumar (1008547)"/>
        <s v="Hyd_John D'Costa (1008548)"/>
        <s v="Hyd_Julie S (1008549)"/>
        <s v="Hyd_Jyoti Tulsani (1008550)"/>
        <s v="Hyd_Kahkasha Parveen (1008551)"/>
        <s v="Hyd_Kailash Nath (1008552)"/>
        <s v="Hyd_Kalpana Agrawal (1008553)"/>
        <s v="Hyd_Kamini Kumar (1008554)"/>
        <s v="Hyd_Kamini Tiwari (1008555)"/>
        <s v="Hyd_Kavita Sharma (1008556)"/>
        <s v="Hyd_Kiran Khubchandani (1008557)"/>
        <s v="Hyd_Kisun Sah (1008558)"/>
        <s v="Hyd_Krishana Kumar (1008559)"/>
        <s v="Hyd_Kunj Bihari (1008560)"/>
        <s v="Hyd_Leena George (1008561)"/>
        <s v="Hyd_Lilly Lucy (1008562)"/>
        <s v="Hyd_Mangal Singh (1008563)"/>
        <s v="Hyd_Manisha Shrivastava (1008564)"/>
        <s v="Hyd_Manjusha Sinha (1008565)"/>
        <s v="Hyd_ManjuTiwari Lab (1008566)"/>
        <s v="Hyd_Manoj Kumar (1008567)"/>
        <s v="Hyd_Manoj Kumar (1008568)"/>
        <s v="Hyd_Masroor Adil (1008569)"/>
        <s v="Hyd_Meena Zinjare (1008570)"/>
        <s v="Hyd_Mehnaz Khan (1008571)"/>
        <s v="Hyd_Mercy Thampi (1008572)"/>
        <s v="Hyd_Miny Mole (1008573)"/>
        <s v="Hyd_Mohd Rafi (1008574)"/>
        <s v="Hyd_Mubeen Khan (1008575)"/>
        <s v="Hyd_Mukesh Nagar (1008576)"/>
        <s v="Hyd_Nandu Kumar (1008577)"/>
        <s v="Hyd_Narayan Singh (1008578)"/>
        <s v="Hyd_Neeraj Saxena (1008579)"/>
        <s v="Hyd_Neeru Mehta (1008580)"/>
        <s v="Hyd_Nikita Panwalkar (1008581)"/>
        <s v="Hyd_Nitin Bhatia (1008582)"/>
        <s v="Hyd_Om Prakash (1008583)"/>
        <s v="Hyd_Omprakash O (1008584)"/>
        <s v="Hyd_Owais Mohd (1008585)"/>
        <s v="Hyd_Pankaj Shelkey (1008586)"/>
        <s v="Hyd_Partha Sarathi (1008587)"/>
        <s v="Hyd_Prabha Desikan (1008588)"/>
        <s v="Hyd_Pramod Tiwari (1008589)"/>
        <s v="Hyd_Prasannakumari S (1008590)"/>
        <s v="Hyd_Praveen Kumar (1008591)"/>
        <s v="Hyd_Rachel Mathew (1008592)"/>
        <s v="Hyd_Rachita Anupam (1008593)"/>
        <s v="Hyd_Rachna Chauhan (1008594)"/>
        <s v="Hyd_Raj Kumar (1008595)"/>
        <s v="Hyd_Rajeev Garg (1008596)"/>
        <s v="Hyd_Rajeev Kumar (1008597)"/>
        <s v="Hyd_Rajendra Gupta (1008598)"/>
        <s v="Hyd_Rajendra Kumar (1008599)"/>
        <s v="Hyd_Rajendra Prasad (1008600)"/>
        <s v="Hyd_Rajesh Kumar (1008601)"/>
        <s v="Hyd_Rajesh Kumar (1008602)"/>
        <s v="Hyd_Rajesh Sharma (1008603)"/>
        <s v="Hyd_Raji Abraham (1008604)"/>
        <s v="Hyd_Rajshree Dhabekar (1008605)"/>
        <s v="Hyd_Rakhi Jodhani (1008606)"/>
        <s v="Hyd_Ramji Prasad (1008607)"/>
        <s v="Del_Rashid (1008608)"/>
        <s v="Del_Rashmi Gajbe (1008609)"/>
        <s v="Del_Ravi Kumar (1008610)"/>
        <s v="Del_Ravinder Kaur (1008611)"/>
        <s v="Del_Rekha Agarwal (1008612)"/>
        <s v="Del_Rekha Gupta (1008613)"/>
        <s v="Del_Rekha Jain  (1008614)"/>
        <s v="Del_Renu Pratap (1008615)"/>
        <s v="Del_Ritu Bhatnagar (1008616)"/>
        <s v="Del_Rohit Nishchal (1008617)"/>
        <s v="Del_Roli Bhatnagar (1008618)"/>
        <s v="Del_Roma Rastogi (1008619)"/>
        <s v="Del_Roohi Haider (1008620)"/>
        <s v="Del_Sajid Naqvi (1008621)"/>
        <s v="Del_Salim (1008622)"/>
        <s v="Del_Sanjay Hire (1008623)"/>
        <s v="Del_Sanjiv Subherwal (1008624)"/>
        <s v="Del_Sanju Ramdas (1008625)"/>
        <s v="Del_Santosh Kumar (1008626)"/>
        <s v="Del_Santosh Kumar (1008627)"/>
        <s v="Del_Santosh Kumar (1008628)"/>
        <s v="Del_Sapna Sharma (1008629)"/>
        <s v="Del_Saroj Parita (1008630)"/>
        <s v="Del_Shailaja Kamal (1008631)"/>
        <s v="Del_Shailendra Barge (1008632)"/>
        <s v="Del_Shankar Attendant (1008633)"/>
        <s v="Del_Shashikant Tiwari (1008634)"/>
        <s v="Del_Sheeba Joseph (1008635)"/>
        <s v="Del_Sheena Joseph (1008636)"/>
        <s v="Del_Shephali Jain (1008637)"/>
        <s v="Del_Shivji Prasad (1008638)"/>
        <s v="Del_Shubhanjali Joshi (1008639)"/>
        <s v="Del_Shyamal Malakar (1008640)"/>
        <s v="Del_Sneh Khan (1008641)"/>
        <s v="Del_Sonaram Munda (1008642)"/>
        <s v="Del_Sudama Kumar (1008643)"/>
        <s v="Del_Sudhir Kumar (1008644)"/>
        <s v="Del_Sunil Kumar (1008645)"/>
        <s v="Del_Sunil Kumar (1008646)"/>
        <s v="Del_Sunita Chawla (1008647)"/>
        <s v="Del_Sunita Madnani (1008648)"/>
        <s v="Del_Surendra Kumar (1008649)"/>
        <s v="Del_Surendranath Thakur (1008650)"/>
        <s v="Del_Sushma Khandelwal (1008651)"/>
        <s v="Del_Swarnlata Borse (1008652)"/>
        <s v="Del_Syed Naved (1008653)"/>
        <s v="Del_Syed Saqib (1008654)"/>
        <s v="Del_Syed Sohail (1008655)"/>
        <s v="Del_System Operator (1008656)"/>
        <s v="Del_Tahira Qureshi (1008657)"/>
        <s v="Del_Tapas Chakraborty (1008658)"/>
        <s v="Del_Tariq Akhlaq (1008659)"/>
        <s v="Del_Tasneem Khan (1008660)"/>
      </sharedItems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1">
      <sharedItems containsSemiMixedTypes="0" containsString="0" containsNumber="1" containsInteger="1" minValue="23" maxValue="107"/>
    </cacheField>
    <cacheField name="Active With Cust." numFmtId="10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x v="0"/>
    <x v="0"/>
    <d v="1899-12-30T08:15:43"/>
    <d v="1899-12-30T04:57:59"/>
    <d v="1899-12-30T01:08:42"/>
    <n v="98"/>
    <n v="0.55697138822580095"/>
  </r>
  <r>
    <x v="1"/>
    <x v="1"/>
    <d v="1899-12-30T08:15:36"/>
    <d v="1899-12-30T04:58:34"/>
    <d v="1899-12-30T01:09:59"/>
    <n v="23"/>
    <n v="0.58027306967984904"/>
  </r>
  <r>
    <x v="2"/>
    <x v="2"/>
    <d v="1899-12-30T08:16:57"/>
    <d v="1899-12-30T04:49:35"/>
    <d v="1899-12-30T01:13:54"/>
    <n v="28"/>
    <n v="0.51708756749505302"/>
  </r>
  <r>
    <x v="3"/>
    <x v="3"/>
    <d v="1899-12-30T08:09:56"/>
    <d v="1899-12-30T04:17:32"/>
    <d v="1899-12-30T02:19:02"/>
    <n v="29"/>
    <n v="0.47720778337188702"/>
  </r>
  <r>
    <x v="4"/>
    <x v="4"/>
    <d v="1899-12-30T07:20:41"/>
    <d v="1899-12-30T03:19:44"/>
    <d v="1899-12-30T03:04:58"/>
    <n v="93"/>
    <n v="0.43288831738587802"/>
  </r>
  <r>
    <x v="5"/>
    <x v="5"/>
    <d v="1899-12-30T05:00:09"/>
    <d v="1899-12-30T03:41:19"/>
    <d v="1899-12-30T00:27:07"/>
    <n v="92"/>
    <n v="0.65495030262646503"/>
  </r>
  <r>
    <x v="6"/>
    <x v="6"/>
    <d v="1899-12-30T08:16:38"/>
    <d v="1899-12-30T04:12:46"/>
    <d v="1899-12-30T02:41:42"/>
    <n v="26"/>
    <n v="0.49476474931203401"/>
  </r>
  <r>
    <x v="7"/>
    <x v="7"/>
    <d v="1899-12-30T09:16:31"/>
    <d v="1899-12-30T05:52:08"/>
    <d v="1899-12-30T01:13:10"/>
    <n v="90"/>
    <n v="0.55128627474469205"/>
  </r>
  <r>
    <x v="8"/>
    <x v="8"/>
    <d v="1899-12-30T08:13:18"/>
    <d v="1899-12-30T04:52:29"/>
    <d v="1899-12-30T01:06:39"/>
    <n v="89"/>
    <n v="0.55206432867085597"/>
  </r>
  <r>
    <x v="9"/>
    <x v="9"/>
    <d v="1899-12-30T08:20:41"/>
    <d v="1899-12-30T04:58:07"/>
    <d v="1899-12-30T01:09:57"/>
    <n v="54"/>
    <n v="0.56868945774108703"/>
  </r>
  <r>
    <x v="10"/>
    <x v="10"/>
    <d v="1899-12-30T08:10:35"/>
    <d v="1899-12-30T04:55:28"/>
    <d v="1899-12-30T01:09:15"/>
    <n v="87"/>
    <n v="0.56035332087650802"/>
  </r>
  <r>
    <x v="11"/>
    <x v="11"/>
    <d v="1899-12-30T08:04:10"/>
    <d v="1899-12-30T03:47:42"/>
    <d v="1899-12-30T03:01:18"/>
    <n v="65"/>
    <n v="0.41552495697073999"/>
  </r>
  <r>
    <x v="12"/>
    <x v="12"/>
    <d v="1899-12-30T08:14:38"/>
    <d v="1899-12-30T04:43:40"/>
    <d v="1899-12-30T02:06:41"/>
    <n v="85"/>
    <n v="0.50026955994339195"/>
  </r>
  <r>
    <x v="13"/>
    <x v="13"/>
    <d v="1899-12-30T07:59:50"/>
    <d v="1899-12-30T04:40:27"/>
    <d v="1899-12-30T01:10:34"/>
    <n v="65"/>
    <n v="0.51396318166029897"/>
  </r>
  <r>
    <x v="14"/>
    <x v="14"/>
    <d v="1899-12-30T08:16:59"/>
    <d v="1899-12-30T04:57:35"/>
    <d v="1899-12-30T01:16:59"/>
    <n v="83"/>
    <n v="0.510580502364264"/>
  </r>
  <r>
    <x v="15"/>
    <x v="15"/>
    <d v="1899-12-30T08:17:15"/>
    <d v="1899-12-30T04:10:25"/>
    <d v="1899-12-30T02:24:20"/>
    <n v="82"/>
    <n v="0.48292274174627098"/>
  </r>
  <r>
    <x v="16"/>
    <x v="15"/>
    <d v="1899-12-30T07:53:01"/>
    <d v="1899-12-30T04:44:12"/>
    <d v="1899-12-30T00:56:29"/>
    <n v="81"/>
    <n v="0.57362319861879396"/>
  </r>
  <r>
    <x v="17"/>
    <x v="15"/>
    <d v="1899-12-30T08:16:43"/>
    <d v="1899-12-30T04:58:07"/>
    <d v="1899-12-30T01:10:07"/>
    <n v="80"/>
    <n v="0.56430560681810604"/>
  </r>
  <r>
    <x v="18"/>
    <x v="15"/>
    <d v="1899-12-30T08:21:16"/>
    <d v="1899-12-30T04:23:03"/>
    <d v="1899-12-30T02:40:10"/>
    <n v="79"/>
    <n v="0.46974331693044302"/>
  </r>
  <r>
    <x v="19"/>
    <x v="16"/>
    <d v="1899-12-30T08:17:52"/>
    <d v="1899-12-30T04:58:14"/>
    <d v="1899-12-30T01:14:30"/>
    <n v="78"/>
    <n v="0.57495313336904097"/>
  </r>
  <r>
    <x v="20"/>
    <x v="17"/>
    <d v="1899-12-30T08:13:41"/>
    <d v="1899-12-30T04:53:40"/>
    <d v="1899-12-30T01:06:59"/>
    <n v="77"/>
    <n v="0.57945376590932096"/>
  </r>
  <r>
    <x v="21"/>
    <x v="18"/>
    <d v="1899-12-30T08:17:34"/>
    <d v="1899-12-30T04:59:50"/>
    <d v="1899-12-30T01:09:47"/>
    <n v="76"/>
    <n v="0.588296375695049"/>
  </r>
  <r>
    <x v="22"/>
    <x v="19"/>
    <d v="1899-12-30T07:41:44"/>
    <d v="1899-12-30T04:08:57"/>
    <d v="1899-12-30T02:10:18"/>
    <n v="75"/>
    <n v="0.46267686976609901"/>
  </r>
  <r>
    <x v="23"/>
    <x v="20"/>
    <d v="1899-12-30T08:10:04"/>
    <d v="1899-12-30T04:14:05"/>
    <d v="1899-12-30T02:11:17"/>
    <n v="74"/>
    <n v="0.478030199972793"/>
  </r>
  <r>
    <x v="24"/>
    <x v="21"/>
    <d v="1899-12-30T08:14:20"/>
    <d v="1899-12-30T05:26:56"/>
    <d v="1899-12-30T01:12:54"/>
    <n v="73"/>
    <n v="0.59983142279163904"/>
  </r>
  <r>
    <x v="25"/>
    <x v="22"/>
    <d v="1899-12-30T07:35:57"/>
    <d v="1899-12-30T05:05:16"/>
    <d v="1899-12-30T00:30:30"/>
    <n v="72"/>
    <n v="0.65029060203969702"/>
  </r>
  <r>
    <x v="26"/>
    <x v="23"/>
    <d v="1899-12-30T08:16:59"/>
    <d v="1899-12-30T04:56:45"/>
    <d v="1899-12-30T01:11:40"/>
    <n v="71"/>
    <n v="0.55001844461584903"/>
  </r>
  <r>
    <x v="27"/>
    <x v="24"/>
    <d v="1899-12-30T08:13:53"/>
    <d v="1899-12-30T05:06:20"/>
    <d v="1899-12-30T01:10:03"/>
    <n v="70"/>
    <n v="0.51334660682347399"/>
  </r>
  <r>
    <x v="28"/>
    <x v="25"/>
    <d v="1899-12-30T08:15:11"/>
    <d v="1899-12-30T04:11:43"/>
    <d v="1899-12-30T02:44:52"/>
    <n v="69"/>
    <n v="0.43603379219817601"/>
  </r>
  <r>
    <x v="29"/>
    <x v="26"/>
    <d v="1899-12-30T07:27:24"/>
    <d v="1899-12-30T04:35:28"/>
    <d v="1899-12-30T01:20:20"/>
    <n v="68"/>
    <n v="0.52954105200417201"/>
  </r>
  <r>
    <x v="30"/>
    <x v="27"/>
    <d v="1899-12-30T07:59:57"/>
    <d v="1899-12-30T05:14:16"/>
    <d v="1899-12-30T01:09:15"/>
    <n v="67"/>
    <n v="0.56446852102649603"/>
  </r>
  <r>
    <x v="31"/>
    <x v="28"/>
    <d v="1899-12-30T08:17:44"/>
    <d v="1899-12-30T05:05:03"/>
    <d v="1899-12-30T02:09:14"/>
    <n v="66"/>
    <n v="0.49789043664612898"/>
  </r>
  <r>
    <x v="32"/>
    <x v="29"/>
    <d v="1899-12-30T08:19:10"/>
    <d v="1899-12-30T04:59:15"/>
    <d v="1899-12-30T01:09:03"/>
    <n v="65"/>
    <n v="0.56270450751252099"/>
  </r>
  <r>
    <x v="33"/>
    <x v="30"/>
    <d v="1899-12-30T08:16:23"/>
    <d v="1899-12-30T05:02:08"/>
    <d v="1899-12-30T01:09:56"/>
    <n v="64"/>
    <n v="0.57680556021891705"/>
  </r>
  <r>
    <x v="34"/>
    <x v="31"/>
    <d v="1899-12-30T07:39:42"/>
    <d v="1899-12-30T04:32:56"/>
    <d v="1899-12-30T01:28:09"/>
    <n v="63"/>
    <n v="0.55728373576970502"/>
  </r>
  <r>
    <x v="35"/>
    <x v="32"/>
    <d v="1899-12-30T08:11:27"/>
    <d v="1899-12-30T04:07:41"/>
    <d v="1899-12-30T02:35:12"/>
    <n v="62"/>
    <n v="0.47590463594126198"/>
  </r>
  <r>
    <x v="36"/>
    <x v="33"/>
    <d v="1899-12-30T08:09:47"/>
    <d v="1899-12-30T04:51:30"/>
    <d v="1899-12-30T01:09:36"/>
    <n v="61"/>
    <n v="0.55636846224520997"/>
  </r>
  <r>
    <x v="37"/>
    <x v="34"/>
    <d v="1899-12-30T08:15:46"/>
    <d v="1899-12-30T04:56:12"/>
    <d v="1899-12-30T01:10:44"/>
    <n v="60"/>
    <n v="0.527970147246689"/>
  </r>
  <r>
    <x v="38"/>
    <x v="35"/>
    <d v="1899-12-30T08:15:19"/>
    <d v="1899-12-30T04:56:56"/>
    <d v="1899-12-30T01:10:27"/>
    <n v="59"/>
    <n v="0.565025741108382"/>
  </r>
  <r>
    <x v="39"/>
    <x v="36"/>
    <d v="1899-12-30T08:17:24"/>
    <d v="1899-12-30T05:25:18"/>
    <d v="1899-12-30T01:10:12"/>
    <n v="58"/>
    <n v="0.48579278917035301"/>
  </r>
  <r>
    <x v="40"/>
    <x v="37"/>
    <d v="1899-12-30T08:16:01"/>
    <d v="1899-12-30T04:58:27"/>
    <d v="1899-12-30T01:07:40"/>
    <n v="57"/>
    <n v="0.572258996673499"/>
  </r>
  <r>
    <x v="41"/>
    <x v="38"/>
    <d v="1899-12-30T08:00:08"/>
    <d v="1899-12-30T03:54:19"/>
    <d v="1899-12-30T02:24:54"/>
    <n v="56"/>
    <n v="0.46542627048042201"/>
  </r>
  <r>
    <x v="42"/>
    <x v="39"/>
    <d v="1899-12-30T05:01:37"/>
    <d v="1899-12-30T03:21:30"/>
    <d v="1899-12-30T00:15:00"/>
    <n v="55"/>
    <n v="0.64380836602751801"/>
  </r>
  <r>
    <x v="43"/>
    <x v="40"/>
    <d v="1899-12-30T08:26:46"/>
    <d v="1899-12-30T05:18:49"/>
    <d v="1899-12-30T01:09:45"/>
    <n v="54"/>
    <n v="0.57347234098533195"/>
  </r>
  <r>
    <x v="44"/>
    <x v="41"/>
    <d v="1899-12-30T07:53:25"/>
    <d v="1899-12-30T05:26:19"/>
    <d v="1899-12-30T00:56:19"/>
    <n v="53"/>
    <n v="0.64717479317021698"/>
  </r>
  <r>
    <x v="45"/>
    <x v="42"/>
    <d v="1899-12-30T08:01:28"/>
    <d v="1899-12-30T04:13:15"/>
    <d v="1899-12-30T02:10:24"/>
    <n v="52"/>
    <n v="0.50443090556632497"/>
  </r>
  <r>
    <x v="46"/>
    <x v="43"/>
    <d v="1899-12-30T08:21:34"/>
    <d v="1899-12-30T05:08:41"/>
    <d v="1899-12-30T01:09:28"/>
    <n v="51"/>
    <n v="0.55280122283511701"/>
  </r>
  <r>
    <x v="47"/>
    <x v="44"/>
    <d v="1899-12-30T08:15:28"/>
    <d v="1899-12-30T04:45:06"/>
    <d v="1899-12-30T01:09:45"/>
    <n v="50"/>
    <n v="0.55493137782561897"/>
  </r>
  <r>
    <x v="48"/>
    <x v="45"/>
    <d v="1899-12-30T07:59:19"/>
    <d v="1899-12-30T04:42:13"/>
    <d v="1899-12-30T01:10:11"/>
    <n v="49"/>
    <n v="0.55217497131332804"/>
  </r>
  <r>
    <x v="49"/>
    <x v="46"/>
    <d v="1899-12-30T04:56:13"/>
    <d v="1899-12-30T03:10:50"/>
    <d v="1899-12-30T00:18:10"/>
    <n v="48"/>
    <n v="0.58819557756147001"/>
  </r>
  <r>
    <x v="50"/>
    <x v="47"/>
    <d v="1899-12-30T07:45:23"/>
    <d v="1899-12-30T04:39:06"/>
    <d v="1899-12-30T01:14:44"/>
    <n v="47"/>
    <n v="0.55534863732407003"/>
  </r>
  <r>
    <x v="51"/>
    <x v="48"/>
    <d v="1899-12-30T08:00:13"/>
    <d v="1899-12-30T04:46:25"/>
    <d v="1899-12-30T01:10:04"/>
    <n v="46"/>
    <n v="0.55815083469267301"/>
  </r>
  <r>
    <x v="52"/>
    <x v="49"/>
    <d v="1899-12-30T08:09:49"/>
    <d v="1899-12-30T04:51:12"/>
    <d v="1899-12-30T01:10:09"/>
    <n v="45"/>
    <n v="0.53002824185919895"/>
  </r>
  <r>
    <x v="53"/>
    <x v="50"/>
    <d v="1899-12-30T08:14:05"/>
    <d v="1899-12-30T05:04:01"/>
    <d v="1899-12-30T01:10:39"/>
    <n v="44"/>
    <n v="0.54639905548996504"/>
  </r>
  <r>
    <x v="54"/>
    <x v="51"/>
    <d v="1899-12-30T07:41:28"/>
    <d v="1899-12-30T04:26:11"/>
    <d v="1899-12-30T01:10:46"/>
    <n v="43"/>
    <n v="0.52849609939323905"/>
  </r>
  <r>
    <x v="55"/>
    <x v="52"/>
    <d v="1899-12-30T08:00:44"/>
    <d v="1899-12-30T04:28:58"/>
    <d v="1899-12-30T01:09:53"/>
    <n v="42"/>
    <n v="0.53279711551795905"/>
  </r>
  <r>
    <x v="56"/>
    <x v="52"/>
    <d v="1899-12-30T07:55:23"/>
    <d v="1899-12-30T04:29:51"/>
    <d v="1899-12-30T01:15:59"/>
    <n v="41"/>
    <n v="0.53150089401535605"/>
  </r>
  <r>
    <x v="57"/>
    <x v="53"/>
    <d v="1899-12-30T08:10:04"/>
    <d v="1899-12-30T05:04:35"/>
    <d v="1899-12-30T01:11:39"/>
    <n v="40"/>
    <n v="0.58954564004897303"/>
  </r>
  <r>
    <x v="58"/>
    <x v="54"/>
    <d v="1899-12-30T08:05:29"/>
    <d v="1899-12-30T03:09:32"/>
    <d v="1899-12-30T03:34:45"/>
    <n v="39"/>
    <n v="0.34903360911806097"/>
  </r>
  <r>
    <x v="59"/>
    <x v="55"/>
    <d v="1899-12-30T08:14:51"/>
    <d v="1899-12-30T04:08:21"/>
    <d v="1899-12-30T02:12:24"/>
    <n v="38"/>
    <n v="0.47933717288067101"/>
  </r>
  <r>
    <x v="60"/>
    <x v="56"/>
    <d v="1899-12-30T05:15:35"/>
    <d v="1899-12-30T03:38:44"/>
    <d v="1899-12-30T00:15:35"/>
    <n v="37"/>
    <n v="0.62762080802746201"/>
  </r>
  <r>
    <x v="61"/>
    <x v="57"/>
    <d v="1899-12-30T08:12:10"/>
    <d v="1899-12-30T04:14:06"/>
    <d v="1899-12-30T02:13:07"/>
    <n v="36"/>
    <n v="0.47561801557737898"/>
  </r>
  <r>
    <x v="62"/>
    <x v="58"/>
    <d v="1899-12-30T08:00:32"/>
    <d v="1899-12-30T03:55:15"/>
    <d v="1899-12-30T02:38:29"/>
    <n v="35"/>
    <n v="0.43635543840177599"/>
  </r>
  <r>
    <x v="63"/>
    <x v="59"/>
    <d v="1899-12-30T07:55:35"/>
    <d v="1899-12-30T03:50:43"/>
    <d v="1899-12-30T02:24:38"/>
    <n v="34"/>
    <n v="0.451270369721395"/>
  </r>
  <r>
    <x v="64"/>
    <x v="60"/>
    <d v="1899-12-30T05:01:07"/>
    <d v="1899-12-30T03:13:40"/>
    <d v="1899-12-30T00:29:34"/>
    <n v="33"/>
    <n v="0.61244257486024201"/>
  </r>
  <r>
    <x v="65"/>
    <x v="61"/>
    <d v="1899-12-30T08:21:39"/>
    <d v="1899-12-30T04:43:39"/>
    <d v="1899-12-30T01:14:03"/>
    <n v="32"/>
    <n v="0.51755872288115901"/>
  </r>
  <r>
    <x v="66"/>
    <x v="62"/>
    <d v="1899-12-30T08:19:29"/>
    <d v="1899-12-30T04:54:19"/>
    <d v="1899-12-30T01:08:27"/>
    <n v="31"/>
    <n v="0.55550735760285597"/>
  </r>
  <r>
    <x v="67"/>
    <x v="63"/>
    <d v="1899-12-30T08:21:13"/>
    <d v="1899-12-30T04:36:09"/>
    <d v="1899-12-30T02:15:18"/>
    <n v="30"/>
    <n v="0.45535862734013899"/>
  </r>
  <r>
    <x v="68"/>
    <x v="64"/>
    <d v="1899-12-30T08:02:20"/>
    <d v="1899-12-30T04:44:15"/>
    <d v="1899-12-30T01:10:03"/>
    <n v="29"/>
    <n v="0.53445058742225304"/>
  </r>
  <r>
    <x v="69"/>
    <x v="65"/>
    <d v="1899-12-30T08:16:46"/>
    <d v="1899-12-30T04:58:45"/>
    <d v="1899-12-30T01:37:25"/>
    <n v="28"/>
    <n v="0.55914916459773201"/>
  </r>
  <r>
    <x v="70"/>
    <x v="66"/>
    <d v="1899-12-30T08:00:37"/>
    <d v="1899-12-30T04:44:56"/>
    <d v="1899-12-30T01:09:53"/>
    <n v="29"/>
    <n v="0.56847106148351101"/>
  </r>
  <r>
    <x v="71"/>
    <x v="67"/>
    <d v="1899-12-30T07:55:44"/>
    <d v="1899-12-30T04:26:21"/>
    <d v="1899-12-30T01:36:03"/>
    <n v="30"/>
    <n v="0.47509108744394601"/>
  </r>
  <r>
    <x v="72"/>
    <x v="68"/>
    <d v="1899-12-30T08:09:43"/>
    <d v="1899-12-30T04:02:05"/>
    <d v="1899-12-30T02:11:54"/>
    <n v="31"/>
    <n v="0.47578531804104401"/>
  </r>
  <r>
    <x v="73"/>
    <x v="69"/>
    <d v="1899-12-30T08:01:11"/>
    <d v="1899-12-30T04:02:50"/>
    <d v="1899-12-30T02:26:26"/>
    <n v="32"/>
    <n v="0.46898271622042897"/>
  </r>
  <r>
    <x v="74"/>
    <x v="70"/>
    <d v="1899-12-30T08:15:54"/>
    <d v="1899-12-30T04:26:54"/>
    <d v="1899-12-30T01:55:26"/>
    <n v="33"/>
    <n v="0.51361161524500898"/>
  </r>
  <r>
    <x v="75"/>
    <x v="71"/>
    <d v="1899-12-30T08:32:22"/>
    <d v="1899-12-30T05:11:39"/>
    <d v="1899-12-30T01:38:42"/>
    <n v="34"/>
    <n v="0.525112224318522"/>
  </r>
  <r>
    <x v="76"/>
    <x v="72"/>
    <d v="1899-12-30T08:21:49"/>
    <d v="1899-12-30T03:03:51"/>
    <d v="1899-12-30T04:11:26"/>
    <n v="35"/>
    <n v="0.348600086352918"/>
  </r>
  <r>
    <x v="77"/>
    <x v="73"/>
    <d v="1899-12-30T08:25:20"/>
    <d v="1899-12-30T02:54:03"/>
    <d v="1899-12-30T04:21:06"/>
    <n v="36"/>
    <n v="0.314709762532982"/>
  </r>
  <r>
    <x v="78"/>
    <x v="74"/>
    <d v="1899-12-30T08:08:02"/>
    <d v="1899-12-30T05:10:46"/>
    <d v="1899-12-30T01:10:25"/>
    <n v="37"/>
    <n v="0.55600710333993597"/>
  </r>
  <r>
    <x v="79"/>
    <x v="75"/>
    <d v="1899-12-30T08:19:20"/>
    <d v="1899-12-30T04:08:46"/>
    <d v="1899-12-30T02:37:28"/>
    <n v="38"/>
    <n v="0.46221628838451301"/>
  </r>
  <r>
    <x v="80"/>
    <x v="76"/>
    <d v="1899-12-30T08:25:36"/>
    <d v="1899-12-30T03:40:53"/>
    <d v="1899-12-30T03:20:01"/>
    <n v="39"/>
    <n v="0.39075685654008402"/>
  </r>
  <r>
    <x v="81"/>
    <x v="77"/>
    <d v="1899-12-30T08:16:26"/>
    <d v="1899-12-30T05:16:03"/>
    <d v="1899-12-30T01:08:32"/>
    <n v="40"/>
    <n v="0.54713623850130899"/>
  </r>
  <r>
    <x v="82"/>
    <x v="78"/>
    <d v="1899-12-30T07:36:07"/>
    <d v="1899-12-30T05:07:23"/>
    <d v="1899-12-30T00:30:20"/>
    <n v="41"/>
    <n v="0.61457229509993805"/>
  </r>
  <r>
    <x v="83"/>
    <x v="79"/>
    <d v="1899-12-30T08:09:57"/>
    <d v="1899-12-30T05:03:51"/>
    <d v="1899-12-30T01:08:44"/>
    <n v="42"/>
    <n v="0.55335578460387103"/>
  </r>
  <r>
    <x v="84"/>
    <x v="80"/>
    <d v="1899-12-30T08:04:00"/>
    <d v="1899-12-30T05:05:29"/>
    <d v="1899-12-30T01:08:24"/>
    <n v="43"/>
    <n v="0.611363636363636"/>
  </r>
  <r>
    <x v="85"/>
    <x v="81"/>
    <d v="1899-12-30T07:59:43"/>
    <d v="1899-12-30T04:28:51"/>
    <d v="1899-12-30T01:37:06"/>
    <n v="44"/>
    <n v="0.51217732689434703"/>
  </r>
  <r>
    <x v="86"/>
    <x v="82"/>
    <d v="1899-12-30T08:25:57"/>
    <d v="1899-12-30T04:58:12"/>
    <d v="1899-12-30T01:19:08"/>
    <n v="45"/>
    <n v="0.56029910728991705"/>
  </r>
  <r>
    <x v="87"/>
    <x v="83"/>
    <d v="1899-12-30T08:14:44"/>
    <d v="1899-12-30T03:55:22"/>
    <d v="1899-12-30T02:34:16"/>
    <n v="46"/>
    <n v="0.42891793558819602"/>
  </r>
  <r>
    <x v="88"/>
    <x v="84"/>
    <d v="1899-12-30T08:22:34"/>
    <d v="1899-12-30T00:48:33"/>
    <d v="1899-12-30T07:08:19"/>
    <n v="47"/>
    <n v="9.4547987000066294E-2"/>
  </r>
  <r>
    <x v="89"/>
    <x v="85"/>
    <d v="1899-12-30T08:00:39"/>
    <d v="1899-12-30T05:11:50"/>
    <d v="1899-12-30T01:12:04"/>
    <n v="48"/>
    <n v="0.61021533340268397"/>
  </r>
  <r>
    <x v="90"/>
    <x v="85"/>
    <d v="1899-12-30T08:17:39"/>
    <d v="1899-12-30T04:49:40"/>
    <d v="1899-12-30T02:06:35"/>
    <n v="49"/>
    <n v="0.51260926353863201"/>
  </r>
  <r>
    <x v="91"/>
    <x v="86"/>
    <d v="1899-12-30T05:04:31"/>
    <d v="1899-12-30T03:24:21"/>
    <d v="1899-12-30T00:24:27"/>
    <n v="50"/>
    <n v="0.62426796562859199"/>
  </r>
  <r>
    <x v="92"/>
    <x v="87"/>
    <d v="1899-12-30T08:10:41"/>
    <d v="1899-12-30T04:44:35"/>
    <d v="1899-12-30T01:09:28"/>
    <n v="51"/>
    <n v="0.54373153085832704"/>
  </r>
  <r>
    <x v="93"/>
    <x v="88"/>
    <d v="1899-12-30T08:15:13"/>
    <e v="#VALUE!"/>
    <d v="1899-12-30T08:15:09"/>
    <n v="52"/>
    <n v="0"/>
  </r>
  <r>
    <x v="94"/>
    <x v="89"/>
    <d v="1899-12-30T08:02:52"/>
    <d v="1899-12-30T01:13:06"/>
    <d v="1899-12-30T06:39:44"/>
    <n v="53"/>
    <n v="0.14431174927516199"/>
  </r>
  <r>
    <x v="95"/>
    <x v="90"/>
    <d v="1899-12-30T08:19:26"/>
    <d v="1899-12-30T04:53:04"/>
    <d v="1899-12-30T01:13:46"/>
    <n v="54"/>
    <n v="0.55259293866381898"/>
  </r>
  <r>
    <x v="96"/>
    <x v="91"/>
    <d v="1899-12-30T08:02:10"/>
    <d v="1899-12-30T01:36:08"/>
    <d v="1899-12-30T05:45:13"/>
    <n v="55"/>
    <n v="0.18938817836156199"/>
  </r>
  <r>
    <x v="97"/>
    <x v="92"/>
    <d v="1899-12-30T08:20:42"/>
    <d v="1899-12-30T04:16:57"/>
    <d v="1899-12-30T02:04:58"/>
    <n v="56"/>
    <n v="0.47077424938419499"/>
  </r>
  <r>
    <x v="98"/>
    <x v="93"/>
    <d v="1899-12-30T08:00:44"/>
    <d v="1899-12-30T04:47:03"/>
    <d v="1899-12-30T01:11:14"/>
    <n v="57"/>
    <n v="0.53862155040909698"/>
  </r>
  <r>
    <x v="99"/>
    <x v="94"/>
    <d v="1899-12-30T08:01:53"/>
    <d v="1899-12-30T04:38:57"/>
    <d v="1899-12-30T01:09:28"/>
    <n v="58"/>
    <n v="0.53294365856189296"/>
  </r>
  <r>
    <x v="100"/>
    <x v="95"/>
    <d v="1899-12-30T05:53:52"/>
    <d v="1899-12-30T02:53:07"/>
    <d v="1899-12-30T02:41:42"/>
    <n v="59"/>
    <n v="0.41310286360211002"/>
  </r>
  <r>
    <x v="101"/>
    <x v="96"/>
    <d v="1899-12-30T08:16:02"/>
    <d v="1899-12-30T04:22:52"/>
    <d v="1899-12-30T01:50:37"/>
    <n v="60"/>
    <n v="0.50483838451717"/>
  </r>
  <r>
    <x v="102"/>
    <x v="97"/>
    <d v="1899-12-30T08:15:42"/>
    <d v="1899-12-30T04:25:29"/>
    <d v="1899-12-30T01:36:57"/>
    <n v="61"/>
    <n v="0.52390558805729304"/>
  </r>
  <r>
    <x v="103"/>
    <x v="98"/>
    <d v="1899-12-30T08:16:30"/>
    <d v="1899-12-30T02:30:29"/>
    <d v="1899-12-30T05:07:55"/>
    <n v="62"/>
    <n v="0.25444780127559602"/>
  </r>
  <r>
    <x v="104"/>
    <x v="99"/>
    <d v="1899-12-30T08:01:48"/>
    <d v="1899-12-30T04:52:13"/>
    <d v="1899-12-30T01:13:20"/>
    <n v="63"/>
    <n v="0.55517503805174995"/>
  </r>
  <r>
    <x v="105"/>
    <x v="100"/>
    <d v="1899-12-30T08:17:09"/>
    <e v="#VALUE!"/>
    <d v="1899-12-30T08:17:00"/>
    <n v="64"/>
    <n v="0"/>
  </r>
  <r>
    <x v="106"/>
    <x v="101"/>
    <d v="1899-12-30T08:15:43"/>
    <d v="1899-12-30T04:08:30"/>
    <d v="1899-12-30T02:10:16"/>
    <n v="65"/>
    <n v="0.477120667047709"/>
  </r>
  <r>
    <x v="107"/>
    <x v="102"/>
    <d v="1899-12-30T08:31:02"/>
    <d v="1899-12-30T05:35:38"/>
    <d v="1899-12-30T00:53:47"/>
    <n v="66"/>
    <n v="0.61917030852521004"/>
  </r>
  <r>
    <x v="108"/>
    <x v="103"/>
    <d v="1899-12-30T08:00:11"/>
    <d v="1899-12-30T04:52:11"/>
    <d v="1899-12-30T01:09:24"/>
    <n v="67"/>
    <n v="0.55305265350039901"/>
  </r>
  <r>
    <x v="109"/>
    <x v="104"/>
    <d v="1899-12-30T08:15:48"/>
    <d v="1899-12-30T05:00:37"/>
    <d v="1899-12-30T01:08:40"/>
    <n v="68"/>
    <n v="0.56195374478956595"/>
  </r>
  <r>
    <x v="110"/>
    <x v="105"/>
    <d v="1899-12-30T08:15:56"/>
    <d v="1899-12-30T04:37:42"/>
    <d v="1899-12-30T01:59:29"/>
    <n v="69"/>
    <n v="0.48780077967468699"/>
  </r>
  <r>
    <x v="111"/>
    <x v="106"/>
    <d v="1899-12-30T08:15:52"/>
    <d v="1899-12-30T05:00:14"/>
    <d v="1899-12-30T01:09:43"/>
    <n v="70"/>
    <n v="0.55414762032804499"/>
  </r>
  <r>
    <x v="112"/>
    <x v="107"/>
    <d v="1899-12-30T08:02:17"/>
    <d v="1899-12-30T05:06:07"/>
    <d v="1899-12-30T01:10:15"/>
    <n v="71"/>
    <n v="0.58651553374572396"/>
  </r>
  <r>
    <x v="113"/>
    <x v="108"/>
    <d v="1899-12-30T08:15:58"/>
    <d v="1899-12-30T05:19:44"/>
    <d v="1899-12-30T01:13:56"/>
    <n v="72"/>
    <n v="0.58165871362322696"/>
  </r>
  <r>
    <x v="114"/>
    <x v="109"/>
    <d v="1899-12-30T08:00:32"/>
    <d v="1899-12-30T05:03:10"/>
    <d v="1899-12-30T01:09:48"/>
    <n v="73"/>
    <n v="0.59073251942286398"/>
  </r>
  <r>
    <x v="115"/>
    <x v="109"/>
    <d v="1899-12-30T08:17:04"/>
    <d v="1899-12-30T05:09:57"/>
    <d v="1899-12-30T01:10:58"/>
    <n v="74"/>
    <n v="0.58640692060085797"/>
  </r>
  <r>
    <x v="116"/>
    <x v="109"/>
    <d v="1899-12-30T08:02:59"/>
    <d v="1899-12-30T04:44:19"/>
    <d v="1899-12-30T01:12:01"/>
    <n v="75"/>
    <n v="0.54653369681493502"/>
  </r>
  <r>
    <x v="117"/>
    <x v="110"/>
    <d v="1899-12-30T08:04:14"/>
    <d v="1899-12-30T04:33:29"/>
    <d v="1899-12-30T01:32:37"/>
    <n v="76"/>
    <n v="0.53238796723342696"/>
  </r>
  <r>
    <x v="118"/>
    <x v="111"/>
    <d v="1899-12-30T08:01:59"/>
    <d v="1899-12-30T04:31:42"/>
    <d v="1899-12-30T01:45:37"/>
    <n v="77"/>
    <n v="0.47020989660776702"/>
  </r>
  <r>
    <x v="119"/>
    <x v="112"/>
    <d v="1899-12-30T08:09:14"/>
    <d v="1899-12-30T04:51:46"/>
    <d v="1899-12-30T01:08:46"/>
    <n v="78"/>
    <n v="0.54633099407235797"/>
  </r>
  <r>
    <x v="120"/>
    <x v="113"/>
    <d v="1899-12-30T08:17:38"/>
    <d v="1899-12-30T03:26:09"/>
    <d v="1899-12-30T03:43:06"/>
    <n v="79"/>
    <n v="0.38820416638756799"/>
  </r>
  <r>
    <x v="121"/>
    <x v="114"/>
    <d v="1899-12-30T07:57:56"/>
    <d v="1899-12-30T03:27:15"/>
    <d v="1899-12-30T03:15:05"/>
    <n v="80"/>
    <n v="0.40277584042404802"/>
  </r>
  <r>
    <x v="122"/>
    <x v="115"/>
    <d v="1899-12-30T08:14:55"/>
    <d v="1899-12-30T05:19:10"/>
    <d v="1899-12-30T01:09:59"/>
    <n v="81"/>
    <n v="0.54352584610203702"/>
  </r>
  <r>
    <x v="123"/>
    <x v="116"/>
    <d v="1899-12-30T08:30:57"/>
    <d v="1899-12-30T03:41:07"/>
    <d v="1899-12-30T00:55:39"/>
    <n v="82"/>
    <n v="0.28371986821932998"/>
  </r>
  <r>
    <x v="124"/>
    <x v="117"/>
    <d v="1899-12-30T08:49:34"/>
    <d v="1899-12-30T05:10:26"/>
    <d v="1899-12-30T01:41:30"/>
    <n v="83"/>
    <n v="0.56196890539434796"/>
  </r>
  <r>
    <x v="125"/>
    <x v="118"/>
    <d v="1899-12-30T08:25:43"/>
    <d v="1899-12-30T03:41:29"/>
    <d v="1899-12-30T03:23:49"/>
    <n v="84"/>
    <n v="0.40332201825791802"/>
  </r>
  <r>
    <x v="126"/>
    <x v="119"/>
    <d v="1899-12-30T08:11:40"/>
    <d v="1899-12-30T04:12:39"/>
    <d v="1899-12-30T02:17:48"/>
    <n v="85"/>
    <n v="0.43796610169491501"/>
  </r>
  <r>
    <x v="127"/>
    <x v="120"/>
    <d v="1899-12-30T08:17:17"/>
    <d v="1899-12-30T04:54:52"/>
    <d v="1899-12-30T01:19:32"/>
    <n v="86"/>
    <n v="0.55581995508931903"/>
  </r>
  <r>
    <x v="128"/>
    <x v="121"/>
    <d v="1899-12-30T08:15:36"/>
    <d v="1899-12-30T02:53:35"/>
    <d v="1899-12-30T04:35:37"/>
    <n v="87"/>
    <n v="0.326035781544256"/>
  </r>
  <r>
    <x v="129"/>
    <x v="122"/>
    <d v="1899-12-30T08:09:15"/>
    <d v="1899-12-30T05:06:25"/>
    <d v="1899-12-30T01:09:51"/>
    <n v="88"/>
    <n v="0.57404190086867701"/>
  </r>
  <r>
    <x v="130"/>
    <x v="123"/>
    <d v="1899-12-30T08:00:41"/>
    <d v="1899-12-30T04:11:10"/>
    <d v="1899-12-30T01:57:15"/>
    <n v="89"/>
    <n v="0.45359037481363301"/>
  </r>
  <r>
    <x v="131"/>
    <x v="124"/>
    <d v="1899-12-30T08:09:47"/>
    <d v="1899-12-30T02:38:49"/>
    <d v="1899-12-30T04:36:20"/>
    <n v="90"/>
    <n v="0.29689998979140397"/>
  </r>
  <r>
    <x v="132"/>
    <x v="125"/>
    <d v="1899-12-30T08:00:18"/>
    <d v="1899-12-30T04:35:36"/>
    <d v="1899-12-30T01:14:24"/>
    <n v="91"/>
    <n v="0.55729058227496697"/>
  </r>
  <r>
    <x v="133"/>
    <x v="126"/>
    <d v="1899-12-30T08:03:26"/>
    <d v="1899-12-30T02:58:37"/>
    <d v="1899-12-30T03:56:57"/>
    <n v="92"/>
    <n v="0.33279321519685601"/>
  </r>
  <r>
    <x v="134"/>
    <x v="126"/>
    <d v="1899-12-30T08:05:06"/>
    <d v="1899-12-30T04:05:03"/>
    <d v="1899-12-30T02:16:51"/>
    <n v="93"/>
    <n v="0.472308115165258"/>
  </r>
  <r>
    <x v="135"/>
    <x v="127"/>
    <d v="1899-12-30T08:05:25"/>
    <d v="1899-12-30T04:31:57"/>
    <d v="1899-12-30T02:06:43"/>
    <n v="94"/>
    <n v="0.51110729613733896"/>
  </r>
  <r>
    <x v="136"/>
    <x v="128"/>
    <d v="1899-12-30T08:14:02"/>
    <d v="1899-12-30T05:19:12"/>
    <d v="1899-12-30T01:08:15"/>
    <n v="95"/>
    <n v="0.58886040078267299"/>
  </r>
  <r>
    <x v="137"/>
    <x v="129"/>
    <d v="1899-12-30T07:29:10"/>
    <d v="1899-12-30T02:54:25"/>
    <d v="1899-12-30T03:46:52"/>
    <n v="96"/>
    <n v="0.34289424860853401"/>
  </r>
  <r>
    <x v="138"/>
    <x v="130"/>
    <d v="1899-12-30T08:33:53"/>
    <d v="1899-12-30T04:36:50"/>
    <d v="1899-12-30T02:17:05"/>
    <n v="97"/>
    <n v="0.497486459313074"/>
  </r>
  <r>
    <x v="139"/>
    <x v="131"/>
    <d v="1899-12-30T08:15:15"/>
    <d v="1899-12-30T04:50:07"/>
    <d v="1899-12-30T01:10:21"/>
    <n v="98"/>
    <n v="0.52431431936732298"/>
  </r>
  <r>
    <x v="140"/>
    <x v="132"/>
    <d v="1899-12-30T08:19:05"/>
    <d v="1899-12-30T02:59:39"/>
    <d v="1899-12-30T04:32:37"/>
    <n v="99"/>
    <n v="0.31066956086157999"/>
  </r>
  <r>
    <x v="141"/>
    <x v="133"/>
    <d v="1899-12-30T08:13:39"/>
    <d v="1899-12-30T05:24:05"/>
    <d v="1899-12-30T01:14:44"/>
    <n v="100"/>
    <n v="0.58462473412336702"/>
  </r>
  <r>
    <x v="142"/>
    <x v="134"/>
    <d v="1899-12-30T08:24:48"/>
    <d v="1899-12-30T02:52:08"/>
    <d v="1899-12-30T05:03:34"/>
    <n v="101"/>
    <n v="0.31685816164817698"/>
  </r>
  <r>
    <x v="143"/>
    <x v="135"/>
    <d v="1899-12-30T08:17:53"/>
    <d v="1899-12-30T04:51:52"/>
    <d v="1899-12-30T01:12:04"/>
    <n v="102"/>
    <n v="0.56375322197301903"/>
  </r>
  <r>
    <x v="144"/>
    <x v="136"/>
    <d v="1899-12-30T08:30:54"/>
    <d v="1899-12-30T05:15:36"/>
    <d v="1899-12-30T00:56:05"/>
    <n v="103"/>
    <n v="0.54779147908918902"/>
  </r>
  <r>
    <x v="145"/>
    <x v="137"/>
    <d v="1899-12-30T08:46:13"/>
    <d v="1899-12-30T03:36:51"/>
    <d v="1899-12-30T04:02:30"/>
    <n v="104"/>
    <n v="0.37965983593576802"/>
  </r>
  <r>
    <x v="146"/>
    <x v="138"/>
    <d v="1899-12-30T08:14:56"/>
    <d v="1899-12-30T05:15:14"/>
    <d v="1899-12-30T01:12:11"/>
    <n v="105"/>
    <n v="0.56529498922413801"/>
  </r>
  <r>
    <x v="147"/>
    <x v="139"/>
    <d v="1899-12-30T04:59:55"/>
    <d v="1899-12-30T03:08:41"/>
    <d v="1899-12-30T00:15:03"/>
    <n v="106"/>
    <n v="0.60261183662128404"/>
  </r>
  <r>
    <x v="148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8B7943-4818-4428-8CCA-285B728813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5:B13" firstHeaderRow="1" firstDataRow="1" firstDataCol="1"/>
  <pivotFields count="7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numFmtId="1" showAll="0"/>
    <pivotField numFmtId="10" showAll="0"/>
  </pivotFields>
  <rowFields count="1">
    <field x="1"/>
  </rowFields>
  <rowItems count="8">
    <i>
      <x v="7"/>
    </i>
    <i>
      <x v="15"/>
    </i>
    <i>
      <x v="52"/>
    </i>
    <i>
      <x v="85"/>
    </i>
    <i>
      <x v="109"/>
    </i>
    <i>
      <x v="117"/>
    </i>
    <i>
      <x v="126"/>
    </i>
    <i t="grand">
      <x/>
    </i>
  </rowItems>
  <colItems count="1">
    <i/>
  </colItems>
  <dataFields count="1">
    <dataField name="Employee Total Number of wor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7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2F309B-BA27-4C5F-A30E-707379100921}" name="PivotTable3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11">
  <location ref="K5:L11" firstHeaderRow="1" firstDataRow="1" firstDataCol="1"/>
  <pivotFields count="7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dataField="1" numFmtId="1" showAll="0"/>
    <pivotField numFmtId="10" showAll="0"/>
  </pivotFields>
  <rowFields count="1">
    <field x="1"/>
  </rowFields>
  <rowItems count="6">
    <i>
      <x v="15"/>
    </i>
    <i>
      <x v="109"/>
    </i>
    <i>
      <x v="126"/>
    </i>
    <i>
      <x v="139"/>
    </i>
    <i>
      <x v="140"/>
    </i>
    <i t="grand">
      <x/>
    </i>
  </rowItems>
  <colItems count="1">
    <i/>
  </colItems>
  <dataFields count="1">
    <dataField name="Total Calls Attended" fld="5" baseField="0" baseItem="0" numFmtId="1"/>
  </dataFields>
  <chartFormats count="8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0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A4C90A-18A4-443D-98D8-A883BBD9B54F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E5:F11" firstHeaderRow="1" firstDataRow="1" firstDataCol="1"/>
  <pivotFields count="7">
    <pivotField showAll="0">
      <items count="150"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numFmtId="1" showAll="0"/>
    <pivotField dataField="1" numFmtId="10" showAll="0"/>
  </pivotFields>
  <rowFields count="1">
    <field x="1"/>
  </rowFields>
  <rowItems count="6">
    <i>
      <x v="15"/>
    </i>
    <i>
      <x v="52"/>
    </i>
    <i>
      <x v="85"/>
    </i>
    <i>
      <x v="109"/>
    </i>
    <i>
      <x v="126"/>
    </i>
    <i t="grand">
      <x/>
    </i>
  </rowItems>
  <colItems count="1">
    <i/>
  </colItems>
  <dataFields count="1">
    <dataField name="Total Active With Cust." fld="6" baseField="0" baseItem="0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8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0"/>
  <sheetViews>
    <sheetView workbookViewId="0">
      <selection activeCell="I2" sqref="I2"/>
    </sheetView>
  </sheetViews>
  <sheetFormatPr defaultRowHeight="14.4" x14ac:dyDescent="0.3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">
      <c r="A2" s="1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 t="s">
        <v>12</v>
      </c>
      <c r="H2" s="2" t="s">
        <v>12</v>
      </c>
      <c r="I2" s="2" t="s">
        <v>13</v>
      </c>
    </row>
    <row r="3" spans="1:9" x14ac:dyDescent="0.3">
      <c r="A3" s="1" t="s">
        <v>14</v>
      </c>
      <c r="B3" s="2" t="s">
        <v>15</v>
      </c>
      <c r="C3" s="2" t="s">
        <v>16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17</v>
      </c>
    </row>
    <row r="4" spans="1:9" x14ac:dyDescent="0.3">
      <c r="A4" s="1" t="s">
        <v>18</v>
      </c>
      <c r="B4" s="2" t="s">
        <v>19</v>
      </c>
      <c r="C4" s="2" t="s">
        <v>20</v>
      </c>
      <c r="D4" s="2" t="s">
        <v>12</v>
      </c>
      <c r="E4" s="2" t="s">
        <v>12</v>
      </c>
      <c r="F4" s="2" t="s">
        <v>12</v>
      </c>
      <c r="G4" s="2" t="s">
        <v>21</v>
      </c>
      <c r="H4" s="2" t="s">
        <v>12</v>
      </c>
      <c r="I4" s="2" t="s">
        <v>22</v>
      </c>
    </row>
    <row r="5" spans="1:9" x14ac:dyDescent="0.3">
      <c r="A5" s="1" t="s">
        <v>23</v>
      </c>
      <c r="B5" s="2" t="s">
        <v>24</v>
      </c>
      <c r="C5" s="2" t="s">
        <v>25</v>
      </c>
      <c r="D5" s="2" t="s">
        <v>26</v>
      </c>
      <c r="E5" s="2" t="s">
        <v>12</v>
      </c>
      <c r="F5" s="2" t="s">
        <v>12</v>
      </c>
      <c r="G5" s="2" t="s">
        <v>12</v>
      </c>
      <c r="H5" s="2" t="s">
        <v>12</v>
      </c>
      <c r="I5" s="2" t="s">
        <v>27</v>
      </c>
    </row>
    <row r="6" spans="1:9" x14ac:dyDescent="0.3">
      <c r="A6" s="1" t="s">
        <v>28</v>
      </c>
      <c r="B6" s="2" t="s">
        <v>12</v>
      </c>
      <c r="C6" s="2" t="s">
        <v>29</v>
      </c>
      <c r="D6" s="2" t="s">
        <v>12</v>
      </c>
      <c r="E6" s="2" t="s">
        <v>12</v>
      </c>
      <c r="F6" s="2" t="s">
        <v>30</v>
      </c>
      <c r="G6" s="2" t="s">
        <v>12</v>
      </c>
      <c r="H6" s="2" t="s">
        <v>31</v>
      </c>
      <c r="I6" s="2" t="s">
        <v>32</v>
      </c>
    </row>
    <row r="7" spans="1:9" x14ac:dyDescent="0.3">
      <c r="A7" s="1" t="s">
        <v>33</v>
      </c>
      <c r="B7" s="2" t="s">
        <v>12</v>
      </c>
      <c r="C7" s="2" t="s">
        <v>34</v>
      </c>
      <c r="D7" s="2" t="s">
        <v>12</v>
      </c>
      <c r="E7" s="2" t="s">
        <v>12</v>
      </c>
      <c r="F7" s="2" t="s">
        <v>12</v>
      </c>
      <c r="G7" s="2" t="s">
        <v>35</v>
      </c>
      <c r="H7" s="2" t="s">
        <v>12</v>
      </c>
      <c r="I7" s="2" t="s">
        <v>36</v>
      </c>
    </row>
    <row r="8" spans="1:9" x14ac:dyDescent="0.3">
      <c r="A8" s="1" t="s">
        <v>37</v>
      </c>
      <c r="B8" s="2" t="s">
        <v>38</v>
      </c>
      <c r="C8" s="2" t="s">
        <v>39</v>
      </c>
      <c r="D8" s="2" t="s">
        <v>12</v>
      </c>
      <c r="E8" s="2" t="s">
        <v>12</v>
      </c>
      <c r="F8" s="2" t="s">
        <v>12</v>
      </c>
      <c r="G8" s="2" t="s">
        <v>12</v>
      </c>
      <c r="H8" s="2" t="s">
        <v>40</v>
      </c>
      <c r="I8" s="2" t="s">
        <v>41</v>
      </c>
    </row>
    <row r="9" spans="1:9" x14ac:dyDescent="0.3">
      <c r="A9" s="1" t="s">
        <v>42</v>
      </c>
      <c r="B9" s="2" t="s">
        <v>43</v>
      </c>
      <c r="C9" s="2" t="s">
        <v>44</v>
      </c>
      <c r="D9" s="2" t="s">
        <v>12</v>
      </c>
      <c r="E9" s="2" t="s">
        <v>12</v>
      </c>
      <c r="F9" s="2" t="s">
        <v>12</v>
      </c>
      <c r="G9" s="2" t="s">
        <v>12</v>
      </c>
      <c r="H9" s="2" t="s">
        <v>12</v>
      </c>
      <c r="I9" s="2" t="s">
        <v>45</v>
      </c>
    </row>
    <row r="10" spans="1:9" x14ac:dyDescent="0.3">
      <c r="A10" s="1" t="s">
        <v>46</v>
      </c>
      <c r="B10" s="2" t="s">
        <v>47</v>
      </c>
      <c r="C10" s="2" t="s">
        <v>48</v>
      </c>
      <c r="D10" s="2" t="s">
        <v>12</v>
      </c>
      <c r="E10" s="2" t="s">
        <v>12</v>
      </c>
      <c r="F10" s="2" t="s">
        <v>12</v>
      </c>
      <c r="G10" s="2" t="s">
        <v>12</v>
      </c>
      <c r="H10" s="2" t="s">
        <v>12</v>
      </c>
      <c r="I10" s="2" t="s">
        <v>49</v>
      </c>
    </row>
    <row r="11" spans="1:9" x14ac:dyDescent="0.3">
      <c r="A11" s="1" t="s">
        <v>50</v>
      </c>
      <c r="B11" s="2" t="s">
        <v>51</v>
      </c>
      <c r="C11" s="2" t="s">
        <v>52</v>
      </c>
      <c r="D11" s="2" t="s">
        <v>12</v>
      </c>
      <c r="E11" s="2" t="s">
        <v>12</v>
      </c>
      <c r="F11" s="2" t="s">
        <v>12</v>
      </c>
      <c r="G11" s="2" t="s">
        <v>12</v>
      </c>
      <c r="H11" s="2" t="s">
        <v>12</v>
      </c>
      <c r="I11" s="2" t="s">
        <v>53</v>
      </c>
    </row>
    <row r="12" spans="1:9" x14ac:dyDescent="0.3">
      <c r="A12" s="1" t="s">
        <v>54</v>
      </c>
      <c r="B12" s="2" t="s">
        <v>55</v>
      </c>
      <c r="C12" s="2" t="s">
        <v>56</v>
      </c>
      <c r="D12" s="2" t="s">
        <v>12</v>
      </c>
      <c r="E12" s="2" t="s">
        <v>12</v>
      </c>
      <c r="F12" s="2" t="s">
        <v>12</v>
      </c>
      <c r="G12" s="2" t="s">
        <v>12</v>
      </c>
      <c r="H12" s="2" t="s">
        <v>12</v>
      </c>
      <c r="I12" s="2" t="s">
        <v>57</v>
      </c>
    </row>
    <row r="13" spans="1:9" x14ac:dyDescent="0.3">
      <c r="A13" s="1" t="s">
        <v>58</v>
      </c>
      <c r="B13" s="2" t="s">
        <v>59</v>
      </c>
      <c r="C13" s="2" t="s">
        <v>52</v>
      </c>
      <c r="D13" s="2" t="s">
        <v>12</v>
      </c>
      <c r="E13" s="2" t="s">
        <v>60</v>
      </c>
      <c r="F13" s="2" t="s">
        <v>11</v>
      </c>
      <c r="G13" s="2" t="s">
        <v>61</v>
      </c>
      <c r="H13" s="2" t="s">
        <v>12</v>
      </c>
      <c r="I13" s="2" t="s">
        <v>62</v>
      </c>
    </row>
    <row r="14" spans="1:9" x14ac:dyDescent="0.3">
      <c r="A14" s="1" t="s">
        <v>63</v>
      </c>
      <c r="B14" s="2" t="s">
        <v>64</v>
      </c>
      <c r="C14" s="2" t="s">
        <v>65</v>
      </c>
      <c r="D14" s="2" t="s">
        <v>12</v>
      </c>
      <c r="E14" s="2" t="s">
        <v>66</v>
      </c>
      <c r="F14" s="2" t="s">
        <v>12</v>
      </c>
      <c r="G14" s="2" t="s">
        <v>12</v>
      </c>
      <c r="H14" s="2" t="s">
        <v>12</v>
      </c>
      <c r="I14" s="2" t="s">
        <v>67</v>
      </c>
    </row>
    <row r="15" spans="1:9" x14ac:dyDescent="0.3">
      <c r="A15" s="1" t="s">
        <v>68</v>
      </c>
      <c r="B15" s="2" t="s">
        <v>69</v>
      </c>
      <c r="C15" s="2" t="s">
        <v>70</v>
      </c>
      <c r="D15" s="2" t="s">
        <v>12</v>
      </c>
      <c r="E15" s="2" t="s">
        <v>12</v>
      </c>
      <c r="F15" s="2" t="s">
        <v>12</v>
      </c>
      <c r="G15" s="2" t="s">
        <v>12</v>
      </c>
      <c r="H15" s="2" t="s">
        <v>12</v>
      </c>
      <c r="I15" s="2" t="s">
        <v>71</v>
      </c>
    </row>
    <row r="16" spans="1:9" x14ac:dyDescent="0.3">
      <c r="A16" s="1" t="s">
        <v>72</v>
      </c>
      <c r="B16" s="2" t="s">
        <v>73</v>
      </c>
      <c r="C16" s="2" t="s">
        <v>20</v>
      </c>
      <c r="D16" s="2" t="s">
        <v>12</v>
      </c>
      <c r="E16" s="2" t="s">
        <v>12</v>
      </c>
      <c r="F16" s="2" t="s">
        <v>12</v>
      </c>
      <c r="G16" s="2" t="s">
        <v>74</v>
      </c>
      <c r="H16" s="2" t="s">
        <v>12</v>
      </c>
      <c r="I16" s="2" t="s">
        <v>75</v>
      </c>
    </row>
    <row r="17" spans="1:9" x14ac:dyDescent="0.3">
      <c r="A17" s="1" t="s">
        <v>76</v>
      </c>
      <c r="B17" s="2" t="s">
        <v>77</v>
      </c>
      <c r="C17" s="2" t="s">
        <v>78</v>
      </c>
      <c r="D17" s="2" t="s">
        <v>79</v>
      </c>
      <c r="E17" s="2" t="s">
        <v>12</v>
      </c>
      <c r="F17" s="2" t="s">
        <v>12</v>
      </c>
      <c r="G17" s="2" t="s">
        <v>12</v>
      </c>
      <c r="H17" s="2" t="s">
        <v>12</v>
      </c>
      <c r="I17" s="2" t="s">
        <v>80</v>
      </c>
    </row>
    <row r="18" spans="1:9" x14ac:dyDescent="0.3">
      <c r="A18" s="1" t="s">
        <v>81</v>
      </c>
      <c r="B18" s="2" t="s">
        <v>82</v>
      </c>
      <c r="C18" s="2" t="s">
        <v>83</v>
      </c>
      <c r="D18" s="2" t="s">
        <v>12</v>
      </c>
      <c r="E18" s="2" t="s">
        <v>12</v>
      </c>
      <c r="F18" s="2" t="s">
        <v>12</v>
      </c>
      <c r="G18" s="2" t="s">
        <v>12</v>
      </c>
      <c r="H18" s="2" t="s">
        <v>12</v>
      </c>
      <c r="I18" s="2" t="s">
        <v>84</v>
      </c>
    </row>
    <row r="19" spans="1:9" x14ac:dyDescent="0.3">
      <c r="A19" s="1" t="s">
        <v>85</v>
      </c>
      <c r="B19" s="2" t="s">
        <v>86</v>
      </c>
      <c r="C19" s="2" t="s">
        <v>39</v>
      </c>
      <c r="D19" s="2" t="s">
        <v>12</v>
      </c>
      <c r="E19" s="2" t="s">
        <v>12</v>
      </c>
      <c r="F19" s="2" t="s">
        <v>12</v>
      </c>
      <c r="G19" s="2" t="s">
        <v>12</v>
      </c>
      <c r="H19" s="2" t="s">
        <v>12</v>
      </c>
      <c r="I19" s="2" t="s">
        <v>87</v>
      </c>
    </row>
    <row r="20" spans="1:9" x14ac:dyDescent="0.3">
      <c r="A20" s="1" t="s">
        <v>88</v>
      </c>
      <c r="B20" s="2" t="s">
        <v>89</v>
      </c>
      <c r="C20" s="2" t="s">
        <v>90</v>
      </c>
      <c r="D20" s="2" t="s">
        <v>12</v>
      </c>
      <c r="E20" s="2" t="s">
        <v>91</v>
      </c>
      <c r="F20" s="2" t="s">
        <v>92</v>
      </c>
      <c r="G20" s="2" t="s">
        <v>12</v>
      </c>
      <c r="H20" s="2" t="s">
        <v>12</v>
      </c>
      <c r="I20" s="2" t="s">
        <v>93</v>
      </c>
    </row>
    <row r="21" spans="1:9" x14ac:dyDescent="0.3">
      <c r="A21" s="1" t="s">
        <v>94</v>
      </c>
      <c r="B21" s="2" t="s">
        <v>95</v>
      </c>
      <c r="C21" s="2" t="s">
        <v>96</v>
      </c>
      <c r="D21" s="2" t="s">
        <v>12</v>
      </c>
      <c r="E21" s="2" t="s">
        <v>12</v>
      </c>
      <c r="F21" s="2" t="s">
        <v>12</v>
      </c>
      <c r="G21" s="2" t="s">
        <v>97</v>
      </c>
      <c r="H21" s="2" t="s">
        <v>12</v>
      </c>
      <c r="I21" s="2" t="s">
        <v>98</v>
      </c>
    </row>
    <row r="22" spans="1:9" x14ac:dyDescent="0.3">
      <c r="A22" s="1" t="s">
        <v>99</v>
      </c>
      <c r="B22" s="2" t="s">
        <v>100</v>
      </c>
      <c r="C22" s="2" t="s">
        <v>101</v>
      </c>
      <c r="D22" s="2" t="s">
        <v>12</v>
      </c>
      <c r="E22" s="2" t="s">
        <v>12</v>
      </c>
      <c r="F22" s="2" t="s">
        <v>12</v>
      </c>
      <c r="G22" s="2" t="s">
        <v>12</v>
      </c>
      <c r="H22" s="2" t="s">
        <v>12</v>
      </c>
      <c r="I22" s="2" t="s">
        <v>102</v>
      </c>
    </row>
    <row r="23" spans="1:9" x14ac:dyDescent="0.3">
      <c r="A23" s="1" t="s">
        <v>103</v>
      </c>
      <c r="B23" s="2" t="s">
        <v>104</v>
      </c>
      <c r="C23" s="2" t="s">
        <v>105</v>
      </c>
      <c r="D23" s="2" t="s">
        <v>12</v>
      </c>
      <c r="E23" s="2" t="s">
        <v>12</v>
      </c>
      <c r="F23" s="2" t="s">
        <v>12</v>
      </c>
      <c r="G23" s="2" t="s">
        <v>12</v>
      </c>
      <c r="H23" s="2" t="s">
        <v>12</v>
      </c>
      <c r="I23" s="2" t="s">
        <v>106</v>
      </c>
    </row>
    <row r="24" spans="1:9" x14ac:dyDescent="0.3">
      <c r="A24" s="1" t="s">
        <v>107</v>
      </c>
      <c r="B24" s="2" t="s">
        <v>108</v>
      </c>
      <c r="C24" s="2" t="s">
        <v>109</v>
      </c>
      <c r="D24" s="2" t="s">
        <v>110</v>
      </c>
      <c r="E24" s="2" t="s">
        <v>12</v>
      </c>
      <c r="F24" s="2" t="s">
        <v>12</v>
      </c>
      <c r="G24" s="2" t="s">
        <v>12</v>
      </c>
      <c r="H24" s="2" t="s">
        <v>12</v>
      </c>
      <c r="I24" s="2" t="s">
        <v>111</v>
      </c>
    </row>
    <row r="25" spans="1:9" x14ac:dyDescent="0.3">
      <c r="A25" s="1" t="s">
        <v>112</v>
      </c>
      <c r="B25" s="2" t="s">
        <v>113</v>
      </c>
      <c r="C25" s="2" t="s">
        <v>114</v>
      </c>
      <c r="D25" s="2" t="s">
        <v>12</v>
      </c>
      <c r="E25" s="2" t="s">
        <v>115</v>
      </c>
      <c r="F25" s="2" t="s">
        <v>12</v>
      </c>
      <c r="G25" s="2" t="s">
        <v>12</v>
      </c>
      <c r="H25" s="2" t="s">
        <v>12</v>
      </c>
      <c r="I25" s="2" t="s">
        <v>116</v>
      </c>
    </row>
    <row r="26" spans="1:9" x14ac:dyDescent="0.3">
      <c r="A26" s="1" t="s">
        <v>117</v>
      </c>
      <c r="B26" s="2" t="s">
        <v>118</v>
      </c>
      <c r="C26" s="2" t="s">
        <v>119</v>
      </c>
      <c r="D26" s="2" t="s">
        <v>12</v>
      </c>
      <c r="E26" s="2" t="s">
        <v>12</v>
      </c>
      <c r="F26" s="2" t="s">
        <v>12</v>
      </c>
      <c r="G26" s="2" t="s">
        <v>12</v>
      </c>
      <c r="H26" s="2" t="s">
        <v>12</v>
      </c>
      <c r="I26" s="2" t="s">
        <v>120</v>
      </c>
    </row>
    <row r="27" spans="1:9" x14ac:dyDescent="0.3">
      <c r="A27" s="1" t="s">
        <v>121</v>
      </c>
      <c r="B27" s="2" t="s">
        <v>12</v>
      </c>
      <c r="C27" s="2" t="s">
        <v>122</v>
      </c>
      <c r="D27" s="2" t="s">
        <v>12</v>
      </c>
      <c r="E27" s="2" t="s">
        <v>12</v>
      </c>
      <c r="F27" s="2" t="s">
        <v>12</v>
      </c>
      <c r="G27" s="2" t="s">
        <v>12</v>
      </c>
      <c r="H27" s="2" t="s">
        <v>12</v>
      </c>
      <c r="I27" s="2" t="s">
        <v>123</v>
      </c>
    </row>
    <row r="28" spans="1:9" x14ac:dyDescent="0.3">
      <c r="A28" s="1" t="s">
        <v>124</v>
      </c>
      <c r="B28" s="2" t="s">
        <v>125</v>
      </c>
      <c r="C28" s="2" t="s">
        <v>126</v>
      </c>
      <c r="D28" s="2" t="s">
        <v>12</v>
      </c>
      <c r="E28" s="2" t="s">
        <v>12</v>
      </c>
      <c r="F28" s="2" t="s">
        <v>12</v>
      </c>
      <c r="G28" s="2" t="s">
        <v>12</v>
      </c>
      <c r="H28" s="2" t="s">
        <v>12</v>
      </c>
      <c r="I28" s="2" t="s">
        <v>127</v>
      </c>
    </row>
    <row r="29" spans="1:9" x14ac:dyDescent="0.3">
      <c r="A29" s="1" t="s">
        <v>128</v>
      </c>
      <c r="B29" s="2" t="s">
        <v>129</v>
      </c>
      <c r="C29" s="2" t="s">
        <v>130</v>
      </c>
      <c r="D29" s="2" t="s">
        <v>12</v>
      </c>
      <c r="E29" s="2" t="s">
        <v>12</v>
      </c>
      <c r="F29" s="2" t="s">
        <v>12</v>
      </c>
      <c r="G29" s="2" t="s">
        <v>12</v>
      </c>
      <c r="H29" s="2" t="s">
        <v>12</v>
      </c>
      <c r="I29" s="2" t="s">
        <v>131</v>
      </c>
    </row>
    <row r="30" spans="1:9" x14ac:dyDescent="0.3">
      <c r="A30" s="1" t="s">
        <v>132</v>
      </c>
      <c r="B30" s="2" t="s">
        <v>133</v>
      </c>
      <c r="C30" s="2" t="s">
        <v>134</v>
      </c>
      <c r="D30" s="2" t="s">
        <v>12</v>
      </c>
      <c r="E30" s="2" t="s">
        <v>135</v>
      </c>
      <c r="F30" s="2" t="s">
        <v>136</v>
      </c>
      <c r="G30" s="2" t="s">
        <v>12</v>
      </c>
      <c r="H30" s="2" t="s">
        <v>12</v>
      </c>
      <c r="I30" s="2" t="s">
        <v>137</v>
      </c>
    </row>
    <row r="31" spans="1:9" x14ac:dyDescent="0.3">
      <c r="A31" s="1" t="s">
        <v>138</v>
      </c>
      <c r="B31" s="2" t="s">
        <v>12</v>
      </c>
      <c r="C31" s="2" t="s">
        <v>139</v>
      </c>
      <c r="D31" s="2" t="s">
        <v>12</v>
      </c>
      <c r="E31" s="2" t="s">
        <v>12</v>
      </c>
      <c r="F31" s="2" t="s">
        <v>140</v>
      </c>
      <c r="G31" s="2" t="s">
        <v>141</v>
      </c>
      <c r="H31" s="2" t="s">
        <v>12</v>
      </c>
      <c r="I31" s="2" t="s">
        <v>142</v>
      </c>
    </row>
    <row r="32" spans="1:9" x14ac:dyDescent="0.3">
      <c r="A32" s="1" t="s">
        <v>143</v>
      </c>
      <c r="B32" s="2" t="s">
        <v>113</v>
      </c>
      <c r="C32" s="2" t="s">
        <v>144</v>
      </c>
      <c r="D32" s="2" t="s">
        <v>12</v>
      </c>
      <c r="E32" s="2" t="s">
        <v>12</v>
      </c>
      <c r="F32" s="2" t="s">
        <v>12</v>
      </c>
      <c r="G32" s="2" t="s">
        <v>12</v>
      </c>
      <c r="H32" s="2" t="s">
        <v>12</v>
      </c>
      <c r="I32" s="2" t="s">
        <v>57</v>
      </c>
    </row>
    <row r="33" spans="1:9" x14ac:dyDescent="0.3">
      <c r="A33" s="1" t="s">
        <v>145</v>
      </c>
      <c r="B33" s="2" t="s">
        <v>146</v>
      </c>
      <c r="C33" s="2" t="s">
        <v>147</v>
      </c>
      <c r="D33" s="2" t="s">
        <v>12</v>
      </c>
      <c r="E33" s="2" t="s">
        <v>148</v>
      </c>
      <c r="F33" s="2" t="s">
        <v>12</v>
      </c>
      <c r="G33" s="2" t="s">
        <v>12</v>
      </c>
      <c r="H33" s="2" t="s">
        <v>12</v>
      </c>
      <c r="I33" s="2" t="s">
        <v>149</v>
      </c>
    </row>
    <row r="34" spans="1:9" x14ac:dyDescent="0.3">
      <c r="A34" s="1" t="s">
        <v>150</v>
      </c>
      <c r="B34" s="2" t="s">
        <v>77</v>
      </c>
      <c r="C34" s="2" t="s">
        <v>151</v>
      </c>
      <c r="D34" s="2" t="s">
        <v>12</v>
      </c>
      <c r="E34" s="2" t="s">
        <v>12</v>
      </c>
      <c r="F34" s="2" t="s">
        <v>12</v>
      </c>
      <c r="G34" s="2" t="s">
        <v>12</v>
      </c>
      <c r="H34" s="2" t="s">
        <v>12</v>
      </c>
      <c r="I34" s="2" t="s">
        <v>152</v>
      </c>
    </row>
    <row r="35" spans="1:9" x14ac:dyDescent="0.3">
      <c r="A35" s="1" t="s">
        <v>153</v>
      </c>
      <c r="B35" s="2" t="s">
        <v>154</v>
      </c>
      <c r="C35" s="2" t="s">
        <v>155</v>
      </c>
      <c r="D35" s="2" t="s">
        <v>12</v>
      </c>
      <c r="E35" s="2" t="s">
        <v>12</v>
      </c>
      <c r="F35" s="2" t="s">
        <v>12</v>
      </c>
      <c r="G35" s="2" t="s">
        <v>12</v>
      </c>
      <c r="H35" s="2" t="s">
        <v>12</v>
      </c>
      <c r="I35" s="2" t="s">
        <v>156</v>
      </c>
    </row>
    <row r="36" spans="1:9" x14ac:dyDescent="0.3">
      <c r="A36" s="1" t="s">
        <v>157</v>
      </c>
      <c r="B36" s="2" t="s">
        <v>12</v>
      </c>
      <c r="C36" s="2" t="s">
        <v>158</v>
      </c>
      <c r="D36" s="2" t="s">
        <v>159</v>
      </c>
      <c r="E36" s="2" t="s">
        <v>12</v>
      </c>
      <c r="F36" s="2" t="s">
        <v>12</v>
      </c>
      <c r="G36" s="2" t="s">
        <v>12</v>
      </c>
      <c r="H36" s="2" t="s">
        <v>12</v>
      </c>
      <c r="I36" s="2" t="s">
        <v>160</v>
      </c>
    </row>
    <row r="37" spans="1:9" x14ac:dyDescent="0.3">
      <c r="A37" s="1" t="s">
        <v>161</v>
      </c>
      <c r="B37" s="2" t="s">
        <v>162</v>
      </c>
      <c r="C37" s="2" t="s">
        <v>163</v>
      </c>
      <c r="D37" s="2" t="s">
        <v>12</v>
      </c>
      <c r="E37" s="2" t="s">
        <v>164</v>
      </c>
      <c r="F37" s="2" t="s">
        <v>165</v>
      </c>
      <c r="G37" s="2" t="s">
        <v>12</v>
      </c>
      <c r="H37" s="2" t="s">
        <v>12</v>
      </c>
      <c r="I37" s="2" t="s">
        <v>166</v>
      </c>
    </row>
    <row r="38" spans="1:9" x14ac:dyDescent="0.3">
      <c r="A38" s="1" t="s">
        <v>167</v>
      </c>
      <c r="B38" s="2" t="s">
        <v>168</v>
      </c>
      <c r="C38" s="2" t="s">
        <v>169</v>
      </c>
      <c r="D38" s="2" t="s">
        <v>12</v>
      </c>
      <c r="E38" s="2" t="s">
        <v>12</v>
      </c>
      <c r="F38" s="2" t="s">
        <v>12</v>
      </c>
      <c r="G38" s="2" t="s">
        <v>12</v>
      </c>
      <c r="H38" s="2" t="s">
        <v>12</v>
      </c>
      <c r="I38" s="2" t="s">
        <v>170</v>
      </c>
    </row>
    <row r="39" spans="1:9" x14ac:dyDescent="0.3">
      <c r="A39" s="1" t="s">
        <v>171</v>
      </c>
      <c r="B39" s="2" t="s">
        <v>15</v>
      </c>
      <c r="C39" s="2" t="s">
        <v>20</v>
      </c>
      <c r="D39" s="2" t="s">
        <v>12</v>
      </c>
      <c r="E39" s="2" t="s">
        <v>12</v>
      </c>
      <c r="F39" s="2" t="s">
        <v>12</v>
      </c>
      <c r="G39" s="2" t="s">
        <v>12</v>
      </c>
      <c r="H39" s="2" t="s">
        <v>12</v>
      </c>
      <c r="I39" s="2" t="s">
        <v>172</v>
      </c>
    </row>
    <row r="40" spans="1:9" x14ac:dyDescent="0.3">
      <c r="A40" s="1" t="s">
        <v>173</v>
      </c>
      <c r="B40" s="2" t="s">
        <v>174</v>
      </c>
      <c r="C40" s="2" t="s">
        <v>175</v>
      </c>
      <c r="D40" s="2" t="s">
        <v>12</v>
      </c>
      <c r="E40" s="2" t="s">
        <v>12</v>
      </c>
      <c r="F40" s="2" t="s">
        <v>12</v>
      </c>
      <c r="G40" s="2" t="s">
        <v>12</v>
      </c>
      <c r="H40" s="2" t="s">
        <v>12</v>
      </c>
      <c r="I40" s="2" t="s">
        <v>176</v>
      </c>
    </row>
    <row r="41" spans="1:9" x14ac:dyDescent="0.3">
      <c r="A41" s="1" t="s">
        <v>177</v>
      </c>
      <c r="B41" s="2" t="s">
        <v>178</v>
      </c>
      <c r="C41" s="2" t="s">
        <v>179</v>
      </c>
      <c r="D41" s="2" t="s">
        <v>12</v>
      </c>
      <c r="E41" s="2" t="s">
        <v>12</v>
      </c>
      <c r="F41" s="2" t="s">
        <v>12</v>
      </c>
      <c r="G41" s="2" t="s">
        <v>12</v>
      </c>
      <c r="H41" s="2" t="s">
        <v>12</v>
      </c>
      <c r="I41" s="2" t="s">
        <v>180</v>
      </c>
    </row>
    <row r="42" spans="1:9" x14ac:dyDescent="0.3">
      <c r="A42" s="1" t="s">
        <v>181</v>
      </c>
      <c r="B42" s="2" t="s">
        <v>182</v>
      </c>
      <c r="C42" s="2" t="s">
        <v>183</v>
      </c>
      <c r="D42" s="2" t="s">
        <v>12</v>
      </c>
      <c r="E42" s="2" t="s">
        <v>12</v>
      </c>
      <c r="F42" s="2" t="s">
        <v>12</v>
      </c>
      <c r="G42" s="2" t="s">
        <v>12</v>
      </c>
      <c r="H42" s="2" t="s">
        <v>12</v>
      </c>
      <c r="I42" s="2" t="s">
        <v>184</v>
      </c>
    </row>
    <row r="43" spans="1:9" x14ac:dyDescent="0.3">
      <c r="A43" s="1" t="s">
        <v>185</v>
      </c>
      <c r="B43" s="2" t="s">
        <v>186</v>
      </c>
      <c r="C43" s="2" t="s">
        <v>187</v>
      </c>
      <c r="D43" s="2" t="s">
        <v>12</v>
      </c>
      <c r="E43" s="2" t="s">
        <v>12</v>
      </c>
      <c r="F43" s="2" t="s">
        <v>188</v>
      </c>
      <c r="G43" s="2" t="s">
        <v>12</v>
      </c>
      <c r="H43" s="2" t="s">
        <v>12</v>
      </c>
      <c r="I43" s="2" t="s">
        <v>189</v>
      </c>
    </row>
    <row r="44" spans="1:9" x14ac:dyDescent="0.3">
      <c r="A44" s="1" t="s">
        <v>190</v>
      </c>
      <c r="B44" s="2" t="s">
        <v>12</v>
      </c>
      <c r="C44" s="2" t="s">
        <v>191</v>
      </c>
      <c r="D44" s="2" t="s">
        <v>12</v>
      </c>
      <c r="E44" s="2" t="s">
        <v>12</v>
      </c>
      <c r="F44" s="2" t="s">
        <v>12</v>
      </c>
      <c r="G44" s="2" t="s">
        <v>12</v>
      </c>
      <c r="H44" s="2" t="s">
        <v>12</v>
      </c>
      <c r="I44" s="2" t="s">
        <v>192</v>
      </c>
    </row>
    <row r="45" spans="1:9" x14ac:dyDescent="0.3">
      <c r="A45" s="1" t="s">
        <v>193</v>
      </c>
      <c r="B45" s="2" t="s">
        <v>194</v>
      </c>
      <c r="C45" s="2" t="s">
        <v>39</v>
      </c>
      <c r="D45" s="2" t="s">
        <v>12</v>
      </c>
      <c r="E45" s="2" t="s">
        <v>12</v>
      </c>
      <c r="F45" s="2" t="s">
        <v>12</v>
      </c>
      <c r="G45" s="2" t="s">
        <v>195</v>
      </c>
      <c r="H45" s="2" t="s">
        <v>12</v>
      </c>
      <c r="I45" s="2" t="s">
        <v>196</v>
      </c>
    </row>
    <row r="46" spans="1:9" x14ac:dyDescent="0.3">
      <c r="A46" s="1" t="s">
        <v>197</v>
      </c>
      <c r="B46" s="2" t="s">
        <v>198</v>
      </c>
      <c r="C46" s="2" t="s">
        <v>199</v>
      </c>
      <c r="D46" s="2" t="s">
        <v>12</v>
      </c>
      <c r="E46" s="2" t="s">
        <v>12</v>
      </c>
      <c r="F46" s="2" t="s">
        <v>12</v>
      </c>
      <c r="G46" s="2" t="s">
        <v>12</v>
      </c>
      <c r="H46" s="2" t="s">
        <v>12</v>
      </c>
      <c r="I46" s="2" t="s">
        <v>200</v>
      </c>
    </row>
    <row r="47" spans="1:9" x14ac:dyDescent="0.3">
      <c r="A47" s="1" t="s">
        <v>201</v>
      </c>
      <c r="B47" s="2" t="s">
        <v>202</v>
      </c>
      <c r="C47" s="2" t="s">
        <v>203</v>
      </c>
      <c r="D47" s="2" t="s">
        <v>204</v>
      </c>
      <c r="E47" s="2" t="s">
        <v>12</v>
      </c>
      <c r="F47" s="2" t="s">
        <v>12</v>
      </c>
      <c r="G47" s="2" t="s">
        <v>12</v>
      </c>
      <c r="H47" s="2" t="s">
        <v>12</v>
      </c>
      <c r="I47" s="2" t="s">
        <v>205</v>
      </c>
    </row>
    <row r="48" spans="1:9" x14ac:dyDescent="0.3">
      <c r="A48" s="1" t="s">
        <v>206</v>
      </c>
      <c r="B48" s="2" t="s">
        <v>146</v>
      </c>
      <c r="C48" s="2" t="s">
        <v>203</v>
      </c>
      <c r="D48" s="2" t="s">
        <v>12</v>
      </c>
      <c r="E48" s="2" t="s">
        <v>12</v>
      </c>
      <c r="F48" s="2" t="s">
        <v>12</v>
      </c>
      <c r="G48" s="2" t="s">
        <v>12</v>
      </c>
      <c r="H48" s="2" t="s">
        <v>12</v>
      </c>
      <c r="I48" s="2" t="s">
        <v>207</v>
      </c>
    </row>
    <row r="49" spans="1:9" x14ac:dyDescent="0.3">
      <c r="A49" s="1" t="s">
        <v>208</v>
      </c>
      <c r="B49" s="2" t="s">
        <v>86</v>
      </c>
      <c r="C49" s="2" t="s">
        <v>209</v>
      </c>
      <c r="D49" s="2" t="s">
        <v>12</v>
      </c>
      <c r="E49" s="2" t="s">
        <v>12</v>
      </c>
      <c r="F49" s="2" t="s">
        <v>12</v>
      </c>
      <c r="G49" s="2" t="s">
        <v>12</v>
      </c>
      <c r="H49" s="2" t="s">
        <v>12</v>
      </c>
      <c r="I49" s="2" t="s">
        <v>196</v>
      </c>
    </row>
    <row r="50" spans="1:9" x14ac:dyDescent="0.3">
      <c r="A50" s="1" t="s">
        <v>210</v>
      </c>
      <c r="B50" s="2" t="s">
        <v>108</v>
      </c>
      <c r="C50" s="2" t="s">
        <v>211</v>
      </c>
      <c r="D50" s="2" t="s">
        <v>12</v>
      </c>
      <c r="E50" s="2" t="s">
        <v>12</v>
      </c>
      <c r="F50" s="2" t="s">
        <v>12</v>
      </c>
      <c r="G50" s="2" t="s">
        <v>12</v>
      </c>
      <c r="H50" s="2" t="s">
        <v>12</v>
      </c>
      <c r="I50" s="2" t="s">
        <v>212</v>
      </c>
    </row>
    <row r="51" spans="1:9" x14ac:dyDescent="0.3">
      <c r="A51" s="1" t="s">
        <v>213</v>
      </c>
      <c r="B51" s="2" t="s">
        <v>12</v>
      </c>
      <c r="C51" s="2" t="s">
        <v>214</v>
      </c>
      <c r="D51" s="2" t="s">
        <v>12</v>
      </c>
      <c r="E51" s="2" t="s">
        <v>12</v>
      </c>
      <c r="F51" s="2" t="s">
        <v>12</v>
      </c>
      <c r="G51" s="2" t="s">
        <v>215</v>
      </c>
      <c r="H51" s="2" t="s">
        <v>12</v>
      </c>
      <c r="I51" s="2" t="s">
        <v>216</v>
      </c>
    </row>
    <row r="52" spans="1:9" x14ac:dyDescent="0.3">
      <c r="A52" s="1" t="s">
        <v>217</v>
      </c>
      <c r="B52" s="2" t="s">
        <v>218</v>
      </c>
      <c r="C52" s="2" t="s">
        <v>219</v>
      </c>
      <c r="D52" s="2" t="s">
        <v>12</v>
      </c>
      <c r="E52" s="2" t="s">
        <v>12</v>
      </c>
      <c r="F52" s="2" t="s">
        <v>12</v>
      </c>
      <c r="G52" s="2" t="s">
        <v>220</v>
      </c>
      <c r="H52" s="2" t="s">
        <v>12</v>
      </c>
      <c r="I52" s="2" t="s">
        <v>221</v>
      </c>
    </row>
    <row r="53" spans="1:9" x14ac:dyDescent="0.3">
      <c r="A53" s="1" t="s">
        <v>222</v>
      </c>
      <c r="B53" s="2" t="s">
        <v>38</v>
      </c>
      <c r="C53" s="2" t="s">
        <v>126</v>
      </c>
      <c r="D53" s="2" t="s">
        <v>12</v>
      </c>
      <c r="E53" s="2" t="s">
        <v>12</v>
      </c>
      <c r="F53" s="2" t="s">
        <v>12</v>
      </c>
      <c r="G53" s="2" t="s">
        <v>12</v>
      </c>
      <c r="H53" s="2" t="s">
        <v>12</v>
      </c>
      <c r="I53" s="2" t="s">
        <v>223</v>
      </c>
    </row>
    <row r="54" spans="1:9" x14ac:dyDescent="0.3">
      <c r="A54" s="1" t="s">
        <v>224</v>
      </c>
      <c r="B54" s="2" t="s">
        <v>225</v>
      </c>
      <c r="C54" s="2" t="s">
        <v>39</v>
      </c>
      <c r="D54" s="2" t="s">
        <v>12</v>
      </c>
      <c r="E54" s="2" t="s">
        <v>12</v>
      </c>
      <c r="F54" s="2" t="s">
        <v>12</v>
      </c>
      <c r="G54" s="2" t="s">
        <v>12</v>
      </c>
      <c r="H54" s="2" t="s">
        <v>12</v>
      </c>
      <c r="I54" s="2" t="s">
        <v>226</v>
      </c>
    </row>
    <row r="55" spans="1:9" x14ac:dyDescent="0.3">
      <c r="A55" s="1" t="s">
        <v>227</v>
      </c>
      <c r="B55" s="2" t="s">
        <v>228</v>
      </c>
      <c r="C55" s="2" t="s">
        <v>229</v>
      </c>
      <c r="D55" s="2" t="s">
        <v>12</v>
      </c>
      <c r="E55" s="2" t="s">
        <v>12</v>
      </c>
      <c r="F55" s="2" t="s">
        <v>12</v>
      </c>
      <c r="G55" s="2" t="s">
        <v>12</v>
      </c>
      <c r="H55" s="2" t="s">
        <v>12</v>
      </c>
      <c r="I55" s="2" t="s">
        <v>230</v>
      </c>
    </row>
    <row r="56" spans="1:9" x14ac:dyDescent="0.3">
      <c r="A56" s="1" t="s">
        <v>231</v>
      </c>
      <c r="B56" s="2" t="s">
        <v>232</v>
      </c>
      <c r="C56" s="2" t="s">
        <v>233</v>
      </c>
      <c r="D56" s="2" t="s">
        <v>12</v>
      </c>
      <c r="E56" s="2" t="s">
        <v>12</v>
      </c>
      <c r="F56" s="2" t="s">
        <v>12</v>
      </c>
      <c r="G56" s="2" t="s">
        <v>12</v>
      </c>
      <c r="H56" s="2" t="s">
        <v>12</v>
      </c>
      <c r="I56" s="2" t="s">
        <v>234</v>
      </c>
    </row>
    <row r="57" spans="1:9" x14ac:dyDescent="0.3">
      <c r="A57" s="1" t="s">
        <v>235</v>
      </c>
      <c r="B57" s="2" t="s">
        <v>125</v>
      </c>
      <c r="C57" s="2" t="s">
        <v>203</v>
      </c>
      <c r="D57" s="2" t="s">
        <v>12</v>
      </c>
      <c r="E57" s="2" t="s">
        <v>12</v>
      </c>
      <c r="F57" s="2" t="s">
        <v>12</v>
      </c>
      <c r="G57" s="2" t="s">
        <v>12</v>
      </c>
      <c r="H57" s="2" t="s">
        <v>12</v>
      </c>
      <c r="I57" s="2" t="s">
        <v>236</v>
      </c>
    </row>
    <row r="58" spans="1:9" x14ac:dyDescent="0.3">
      <c r="A58" s="1" t="s">
        <v>237</v>
      </c>
      <c r="B58" s="2" t="s">
        <v>15</v>
      </c>
      <c r="C58" s="2" t="s">
        <v>203</v>
      </c>
      <c r="D58" s="2" t="s">
        <v>12</v>
      </c>
      <c r="E58" s="2" t="s">
        <v>12</v>
      </c>
      <c r="F58" s="2" t="s">
        <v>12</v>
      </c>
      <c r="G58" s="2" t="s">
        <v>12</v>
      </c>
      <c r="H58" s="2" t="s">
        <v>12</v>
      </c>
      <c r="I58" s="2" t="s">
        <v>238</v>
      </c>
    </row>
    <row r="59" spans="1:9" x14ac:dyDescent="0.3">
      <c r="A59" s="1" t="s">
        <v>239</v>
      </c>
      <c r="B59" s="2" t="s">
        <v>47</v>
      </c>
      <c r="C59" s="2" t="s">
        <v>240</v>
      </c>
      <c r="D59" s="2" t="s">
        <v>12</v>
      </c>
      <c r="E59" s="2" t="s">
        <v>12</v>
      </c>
      <c r="F59" s="2" t="s">
        <v>12</v>
      </c>
      <c r="G59" s="2" t="s">
        <v>12</v>
      </c>
      <c r="H59" s="2" t="s">
        <v>12</v>
      </c>
      <c r="I59" s="2" t="s">
        <v>241</v>
      </c>
    </row>
    <row r="60" spans="1:9" x14ac:dyDescent="0.3">
      <c r="A60" s="1" t="s">
        <v>242</v>
      </c>
      <c r="B60" s="2" t="s">
        <v>243</v>
      </c>
      <c r="C60" s="2" t="s">
        <v>211</v>
      </c>
      <c r="D60" s="2" t="s">
        <v>12</v>
      </c>
      <c r="E60" s="2" t="s">
        <v>244</v>
      </c>
      <c r="F60" s="2" t="s">
        <v>245</v>
      </c>
      <c r="G60" s="2" t="s">
        <v>12</v>
      </c>
      <c r="H60" s="2" t="s">
        <v>12</v>
      </c>
      <c r="I60" s="2" t="s">
        <v>246</v>
      </c>
    </row>
    <row r="61" spans="1:9" x14ac:dyDescent="0.3">
      <c r="A61" s="1" t="s">
        <v>247</v>
      </c>
      <c r="B61" s="2" t="s">
        <v>86</v>
      </c>
      <c r="C61" s="2" t="s">
        <v>248</v>
      </c>
      <c r="D61" s="2" t="s">
        <v>12</v>
      </c>
      <c r="E61" s="2" t="s">
        <v>249</v>
      </c>
      <c r="F61" s="2" t="s">
        <v>12</v>
      </c>
      <c r="G61" s="2" t="s">
        <v>250</v>
      </c>
      <c r="H61" s="2" t="s">
        <v>12</v>
      </c>
      <c r="I61" s="2" t="s">
        <v>251</v>
      </c>
    </row>
    <row r="62" spans="1:9" x14ac:dyDescent="0.3">
      <c r="A62" s="1" t="s">
        <v>252</v>
      </c>
      <c r="B62" s="2" t="s">
        <v>12</v>
      </c>
      <c r="C62" s="2" t="s">
        <v>253</v>
      </c>
      <c r="D62" s="2" t="s">
        <v>12</v>
      </c>
      <c r="E62" s="2" t="s">
        <v>12</v>
      </c>
      <c r="F62" s="2" t="s">
        <v>12</v>
      </c>
      <c r="G62" s="2" t="s">
        <v>12</v>
      </c>
      <c r="H62" s="2" t="s">
        <v>12</v>
      </c>
      <c r="I62" s="2" t="s">
        <v>254</v>
      </c>
    </row>
    <row r="63" spans="1:9" x14ac:dyDescent="0.3">
      <c r="A63" s="1" t="s">
        <v>255</v>
      </c>
      <c r="B63" s="2" t="s">
        <v>108</v>
      </c>
      <c r="C63" s="2" t="s">
        <v>52</v>
      </c>
      <c r="D63" s="2" t="s">
        <v>256</v>
      </c>
      <c r="E63" s="2" t="s">
        <v>12</v>
      </c>
      <c r="F63" s="2" t="s">
        <v>12</v>
      </c>
      <c r="G63" s="2" t="s">
        <v>12</v>
      </c>
      <c r="H63" s="2" t="s">
        <v>12</v>
      </c>
      <c r="I63" s="2" t="s">
        <v>257</v>
      </c>
    </row>
    <row r="64" spans="1:9" x14ac:dyDescent="0.3">
      <c r="A64" s="1" t="s">
        <v>258</v>
      </c>
      <c r="B64" s="2" t="s">
        <v>113</v>
      </c>
      <c r="C64" s="2" t="s">
        <v>233</v>
      </c>
      <c r="D64" s="2" t="s">
        <v>12</v>
      </c>
      <c r="E64" s="2" t="s">
        <v>259</v>
      </c>
      <c r="F64" s="2" t="s">
        <v>260</v>
      </c>
      <c r="G64" s="2" t="s">
        <v>12</v>
      </c>
      <c r="H64" s="2" t="s">
        <v>12</v>
      </c>
      <c r="I64" s="2" t="s">
        <v>261</v>
      </c>
    </row>
    <row r="65" spans="1:9" x14ac:dyDescent="0.3">
      <c r="A65" s="1" t="s">
        <v>262</v>
      </c>
      <c r="B65" s="2" t="s">
        <v>263</v>
      </c>
      <c r="C65" s="2" t="s">
        <v>264</v>
      </c>
      <c r="D65" s="2" t="s">
        <v>12</v>
      </c>
      <c r="E65" s="2" t="s">
        <v>265</v>
      </c>
      <c r="F65" s="2" t="s">
        <v>266</v>
      </c>
      <c r="G65" s="2" t="s">
        <v>12</v>
      </c>
      <c r="H65" s="2" t="s">
        <v>12</v>
      </c>
      <c r="I65" s="2" t="s">
        <v>267</v>
      </c>
    </row>
    <row r="66" spans="1:9" x14ac:dyDescent="0.3">
      <c r="A66" s="1" t="s">
        <v>268</v>
      </c>
      <c r="B66" s="2" t="s">
        <v>12</v>
      </c>
      <c r="C66" s="2" t="s">
        <v>269</v>
      </c>
      <c r="D66" s="2" t="s">
        <v>12</v>
      </c>
      <c r="E66" s="2" t="s">
        <v>12</v>
      </c>
      <c r="F66" s="2" t="s">
        <v>12</v>
      </c>
      <c r="G66" s="2" t="s">
        <v>270</v>
      </c>
      <c r="H66" s="2" t="s">
        <v>12</v>
      </c>
      <c r="I66" s="2" t="s">
        <v>271</v>
      </c>
    </row>
    <row r="67" spans="1:9" x14ac:dyDescent="0.3">
      <c r="A67" s="1" t="s">
        <v>272</v>
      </c>
      <c r="B67" s="2" t="s">
        <v>168</v>
      </c>
      <c r="C67" s="2" t="s">
        <v>273</v>
      </c>
      <c r="D67" s="2" t="s">
        <v>12</v>
      </c>
      <c r="E67" s="2" t="s">
        <v>12</v>
      </c>
      <c r="F67" s="2" t="s">
        <v>12</v>
      </c>
      <c r="G67" s="2" t="s">
        <v>12</v>
      </c>
      <c r="H67" s="2" t="s">
        <v>12</v>
      </c>
      <c r="I67" s="2" t="s">
        <v>274</v>
      </c>
    </row>
    <row r="68" spans="1:9" x14ac:dyDescent="0.3">
      <c r="A68" s="1" t="s">
        <v>275</v>
      </c>
      <c r="B68" s="2" t="s">
        <v>276</v>
      </c>
      <c r="C68" s="2" t="s">
        <v>277</v>
      </c>
      <c r="D68" s="2" t="s">
        <v>12</v>
      </c>
      <c r="E68" s="2" t="s">
        <v>12</v>
      </c>
      <c r="F68" s="2" t="s">
        <v>12</v>
      </c>
      <c r="G68" s="2" t="s">
        <v>12</v>
      </c>
      <c r="H68" s="2" t="s">
        <v>12</v>
      </c>
      <c r="I68" s="2" t="s">
        <v>278</v>
      </c>
    </row>
    <row r="69" spans="1:9" x14ac:dyDescent="0.3">
      <c r="A69" s="1" t="s">
        <v>279</v>
      </c>
      <c r="B69" s="2" t="s">
        <v>19</v>
      </c>
      <c r="C69" s="2" t="s">
        <v>280</v>
      </c>
      <c r="D69" s="2" t="s">
        <v>281</v>
      </c>
      <c r="E69" s="2" t="s">
        <v>12</v>
      </c>
      <c r="F69" s="2" t="s">
        <v>12</v>
      </c>
      <c r="G69" s="2" t="s">
        <v>12</v>
      </c>
      <c r="H69" s="2" t="s">
        <v>12</v>
      </c>
      <c r="I69" s="2" t="s">
        <v>282</v>
      </c>
    </row>
    <row r="70" spans="1:9" x14ac:dyDescent="0.3">
      <c r="A70" s="1" t="s">
        <v>283</v>
      </c>
      <c r="B70" s="2" t="s">
        <v>38</v>
      </c>
      <c r="C70" s="2" t="s">
        <v>16</v>
      </c>
      <c r="D70" s="2" t="s">
        <v>12</v>
      </c>
      <c r="E70" s="2" t="s">
        <v>12</v>
      </c>
      <c r="F70" s="2" t="s">
        <v>12</v>
      </c>
      <c r="G70" s="2" t="s">
        <v>12</v>
      </c>
      <c r="H70" s="2" t="s">
        <v>12</v>
      </c>
      <c r="I70" s="2" t="s">
        <v>131</v>
      </c>
    </row>
    <row r="71" spans="1:9" x14ac:dyDescent="0.3">
      <c r="A71" s="1" t="s">
        <v>284</v>
      </c>
      <c r="B71" s="2" t="s">
        <v>285</v>
      </c>
      <c r="C71" s="2" t="s">
        <v>286</v>
      </c>
      <c r="D71" s="2" t="s">
        <v>12</v>
      </c>
      <c r="E71" s="2" t="s">
        <v>12</v>
      </c>
      <c r="F71" s="2" t="s">
        <v>287</v>
      </c>
      <c r="G71" s="2" t="s">
        <v>12</v>
      </c>
      <c r="H71" s="2" t="s">
        <v>12</v>
      </c>
      <c r="I71" s="2" t="s">
        <v>288</v>
      </c>
    </row>
    <row r="72" spans="1:9" x14ac:dyDescent="0.3">
      <c r="A72" s="1" t="s">
        <v>289</v>
      </c>
      <c r="B72" s="2" t="s">
        <v>125</v>
      </c>
      <c r="C72" s="2" t="s">
        <v>290</v>
      </c>
      <c r="D72" s="2" t="s">
        <v>12</v>
      </c>
      <c r="E72" s="2" t="s">
        <v>12</v>
      </c>
      <c r="F72" s="2" t="s">
        <v>12</v>
      </c>
      <c r="G72" s="2" t="s">
        <v>12</v>
      </c>
      <c r="H72" s="2" t="s">
        <v>12</v>
      </c>
      <c r="I72" s="2" t="s">
        <v>236</v>
      </c>
    </row>
    <row r="73" spans="1:9" x14ac:dyDescent="0.3">
      <c r="A73" s="1" t="s">
        <v>291</v>
      </c>
      <c r="B73" s="2" t="s">
        <v>168</v>
      </c>
      <c r="C73" s="2" t="s">
        <v>292</v>
      </c>
      <c r="D73" s="2" t="s">
        <v>12</v>
      </c>
      <c r="E73" s="2" t="s">
        <v>12</v>
      </c>
      <c r="F73" s="2" t="s">
        <v>293</v>
      </c>
      <c r="G73" s="2" t="s">
        <v>12</v>
      </c>
      <c r="H73" s="2" t="s">
        <v>12</v>
      </c>
      <c r="I73" s="2" t="s">
        <v>294</v>
      </c>
    </row>
    <row r="74" spans="1:9" x14ac:dyDescent="0.3">
      <c r="A74" s="1" t="s">
        <v>295</v>
      </c>
      <c r="B74" s="2" t="s">
        <v>162</v>
      </c>
      <c r="C74" s="2" t="s">
        <v>296</v>
      </c>
      <c r="D74" s="2" t="s">
        <v>297</v>
      </c>
      <c r="E74" s="2" t="s">
        <v>12</v>
      </c>
      <c r="F74" s="2" t="s">
        <v>12</v>
      </c>
      <c r="G74" s="2" t="s">
        <v>12</v>
      </c>
      <c r="H74" s="2" t="s">
        <v>12</v>
      </c>
      <c r="I74" s="2" t="s">
        <v>298</v>
      </c>
    </row>
    <row r="75" spans="1:9" x14ac:dyDescent="0.3">
      <c r="A75" s="1" t="s">
        <v>299</v>
      </c>
      <c r="B75" s="2" t="s">
        <v>15</v>
      </c>
      <c r="C75" s="2" t="s">
        <v>139</v>
      </c>
      <c r="D75" s="2" t="s">
        <v>12</v>
      </c>
      <c r="E75" s="2" t="s">
        <v>12</v>
      </c>
      <c r="F75" s="2" t="s">
        <v>300</v>
      </c>
      <c r="G75" s="2" t="s">
        <v>12</v>
      </c>
      <c r="H75" s="2" t="s">
        <v>12</v>
      </c>
      <c r="I75" s="2" t="s">
        <v>301</v>
      </c>
    </row>
    <row r="76" spans="1:9" x14ac:dyDescent="0.3">
      <c r="A76" s="1" t="s">
        <v>302</v>
      </c>
      <c r="B76" s="2" t="s">
        <v>38</v>
      </c>
      <c r="C76" s="2" t="s">
        <v>39</v>
      </c>
      <c r="D76" s="2" t="s">
        <v>12</v>
      </c>
      <c r="E76" s="2" t="s">
        <v>12</v>
      </c>
      <c r="F76" s="2" t="s">
        <v>12</v>
      </c>
      <c r="G76" s="2" t="s">
        <v>12</v>
      </c>
      <c r="H76" s="2" t="s">
        <v>303</v>
      </c>
      <c r="I76" s="2" t="s">
        <v>304</v>
      </c>
    </row>
    <row r="77" spans="1:9" x14ac:dyDescent="0.3">
      <c r="A77" s="1" t="s">
        <v>305</v>
      </c>
      <c r="B77" s="2" t="s">
        <v>306</v>
      </c>
      <c r="C77" s="2" t="s">
        <v>307</v>
      </c>
      <c r="D77" s="2" t="s">
        <v>70</v>
      </c>
      <c r="E77" s="2" t="s">
        <v>12</v>
      </c>
      <c r="F77" s="2" t="s">
        <v>12</v>
      </c>
      <c r="G77" s="2" t="s">
        <v>12</v>
      </c>
      <c r="H77" s="2" t="s">
        <v>12</v>
      </c>
      <c r="I77" s="2" t="s">
        <v>308</v>
      </c>
    </row>
    <row r="78" spans="1:9" x14ac:dyDescent="0.3">
      <c r="A78" s="1" t="s">
        <v>309</v>
      </c>
      <c r="B78" s="2" t="s">
        <v>310</v>
      </c>
      <c r="C78" s="2" t="s">
        <v>311</v>
      </c>
      <c r="D78" s="2" t="s">
        <v>12</v>
      </c>
      <c r="E78" s="2" t="s">
        <v>12</v>
      </c>
      <c r="F78" s="2" t="s">
        <v>312</v>
      </c>
      <c r="G78" s="2" t="s">
        <v>12</v>
      </c>
      <c r="H78" s="2" t="s">
        <v>313</v>
      </c>
      <c r="I78" s="2" t="s">
        <v>314</v>
      </c>
    </row>
    <row r="79" spans="1:9" x14ac:dyDescent="0.3">
      <c r="A79" s="1" t="s">
        <v>315</v>
      </c>
      <c r="B79" s="2" t="s">
        <v>38</v>
      </c>
      <c r="C79" s="2" t="s">
        <v>316</v>
      </c>
      <c r="D79" s="2" t="s">
        <v>317</v>
      </c>
      <c r="E79" s="2" t="s">
        <v>12</v>
      </c>
      <c r="F79" s="2" t="s">
        <v>318</v>
      </c>
      <c r="G79" s="2" t="s">
        <v>12</v>
      </c>
      <c r="H79" s="2" t="s">
        <v>12</v>
      </c>
      <c r="I79" s="2" t="s">
        <v>319</v>
      </c>
    </row>
    <row r="80" spans="1:9" x14ac:dyDescent="0.3">
      <c r="A80" s="1" t="s">
        <v>320</v>
      </c>
      <c r="B80" s="2" t="s">
        <v>113</v>
      </c>
      <c r="C80" s="2" t="s">
        <v>321</v>
      </c>
      <c r="D80" s="2" t="s">
        <v>12</v>
      </c>
      <c r="E80" s="2" t="s">
        <v>12</v>
      </c>
      <c r="F80" s="2" t="s">
        <v>12</v>
      </c>
      <c r="G80" s="2" t="s">
        <v>12</v>
      </c>
      <c r="H80" s="2" t="s">
        <v>12</v>
      </c>
      <c r="I80" s="2" t="s">
        <v>322</v>
      </c>
    </row>
    <row r="81" spans="1:9" x14ac:dyDescent="0.3">
      <c r="A81" s="1" t="s">
        <v>323</v>
      </c>
      <c r="B81" s="2" t="s">
        <v>324</v>
      </c>
      <c r="C81" s="2" t="s">
        <v>325</v>
      </c>
      <c r="D81" s="2" t="s">
        <v>326</v>
      </c>
      <c r="E81" s="2" t="s">
        <v>12</v>
      </c>
      <c r="F81" s="2" t="s">
        <v>12</v>
      </c>
      <c r="G81" s="2" t="s">
        <v>12</v>
      </c>
      <c r="H81" s="2" t="s">
        <v>12</v>
      </c>
      <c r="I81" s="2" t="s">
        <v>327</v>
      </c>
    </row>
    <row r="82" spans="1:9" x14ac:dyDescent="0.3">
      <c r="A82" s="1" t="s">
        <v>328</v>
      </c>
      <c r="B82" s="2" t="s">
        <v>329</v>
      </c>
      <c r="C82" s="2" t="s">
        <v>330</v>
      </c>
      <c r="D82" s="2" t="s">
        <v>12</v>
      </c>
      <c r="E82" s="2" t="s">
        <v>12</v>
      </c>
      <c r="F82" s="2" t="s">
        <v>331</v>
      </c>
      <c r="G82" s="2" t="s">
        <v>12</v>
      </c>
      <c r="H82" s="2" t="s">
        <v>12</v>
      </c>
      <c r="I82" s="2" t="s">
        <v>332</v>
      </c>
    </row>
    <row r="83" spans="1:9" x14ac:dyDescent="0.3">
      <c r="A83" s="1" t="s">
        <v>333</v>
      </c>
      <c r="B83" s="2" t="s">
        <v>334</v>
      </c>
      <c r="C83" s="2" t="s">
        <v>335</v>
      </c>
      <c r="D83" s="2" t="s">
        <v>12</v>
      </c>
      <c r="E83" s="2" t="s">
        <v>12</v>
      </c>
      <c r="F83" s="2" t="s">
        <v>12</v>
      </c>
      <c r="G83" s="2" t="s">
        <v>12</v>
      </c>
      <c r="H83" s="2" t="s">
        <v>12</v>
      </c>
      <c r="I83" s="2" t="s">
        <v>336</v>
      </c>
    </row>
    <row r="84" spans="1:9" x14ac:dyDescent="0.3">
      <c r="A84" s="1" t="s">
        <v>337</v>
      </c>
      <c r="B84" s="2" t="s">
        <v>12</v>
      </c>
      <c r="C84" s="2" t="s">
        <v>139</v>
      </c>
      <c r="D84" s="2" t="s">
        <v>12</v>
      </c>
      <c r="E84" s="2" t="s">
        <v>12</v>
      </c>
      <c r="F84" s="2" t="s">
        <v>12</v>
      </c>
      <c r="G84" s="2" t="s">
        <v>12</v>
      </c>
      <c r="H84" s="2" t="s">
        <v>12</v>
      </c>
      <c r="I84" s="2" t="s">
        <v>338</v>
      </c>
    </row>
    <row r="85" spans="1:9" x14ac:dyDescent="0.3">
      <c r="A85" s="1" t="s">
        <v>339</v>
      </c>
      <c r="B85" s="2" t="s">
        <v>340</v>
      </c>
      <c r="C85" s="2" t="s">
        <v>147</v>
      </c>
      <c r="D85" s="2" t="s">
        <v>12</v>
      </c>
      <c r="E85" s="2" t="s">
        <v>12</v>
      </c>
      <c r="F85" s="2" t="s">
        <v>12</v>
      </c>
      <c r="G85" s="2" t="s">
        <v>12</v>
      </c>
      <c r="H85" s="2" t="s">
        <v>12</v>
      </c>
      <c r="I85" s="2" t="s">
        <v>341</v>
      </c>
    </row>
    <row r="86" spans="1:9" x14ac:dyDescent="0.3">
      <c r="A86" s="1" t="s">
        <v>342</v>
      </c>
      <c r="B86" s="2" t="s">
        <v>15</v>
      </c>
      <c r="C86" s="2" t="s">
        <v>343</v>
      </c>
      <c r="D86" s="2" t="s">
        <v>12</v>
      </c>
      <c r="E86" s="2" t="s">
        <v>12</v>
      </c>
      <c r="F86" s="2" t="s">
        <v>12</v>
      </c>
      <c r="G86" s="2" t="s">
        <v>12</v>
      </c>
      <c r="H86" s="2" t="s">
        <v>12</v>
      </c>
      <c r="I86" s="2" t="s">
        <v>344</v>
      </c>
    </row>
    <row r="87" spans="1:9" x14ac:dyDescent="0.3">
      <c r="A87" s="1" t="s">
        <v>345</v>
      </c>
      <c r="B87" s="2" t="s">
        <v>346</v>
      </c>
      <c r="C87" s="2" t="s">
        <v>347</v>
      </c>
      <c r="D87" s="2" t="s">
        <v>12</v>
      </c>
      <c r="E87" s="2" t="s">
        <v>12</v>
      </c>
      <c r="F87" s="2" t="s">
        <v>12</v>
      </c>
      <c r="G87" s="2" t="s">
        <v>12</v>
      </c>
      <c r="H87" s="2" t="s">
        <v>348</v>
      </c>
      <c r="I87" s="2" t="s">
        <v>349</v>
      </c>
    </row>
    <row r="88" spans="1:9" x14ac:dyDescent="0.3">
      <c r="A88" s="1" t="s">
        <v>350</v>
      </c>
      <c r="B88" s="2" t="s">
        <v>351</v>
      </c>
      <c r="C88" s="2" t="s">
        <v>290</v>
      </c>
      <c r="D88" s="2" t="s">
        <v>12</v>
      </c>
      <c r="E88" s="2" t="s">
        <v>12</v>
      </c>
      <c r="F88" s="2" t="s">
        <v>12</v>
      </c>
      <c r="G88" s="2" t="s">
        <v>12</v>
      </c>
      <c r="H88" s="2" t="s">
        <v>352</v>
      </c>
      <c r="I88" s="2" t="s">
        <v>353</v>
      </c>
    </row>
    <row r="89" spans="1:9" x14ac:dyDescent="0.3">
      <c r="A89" s="1" t="s">
        <v>354</v>
      </c>
      <c r="B89" s="2" t="s">
        <v>355</v>
      </c>
      <c r="C89" s="2" t="s">
        <v>356</v>
      </c>
      <c r="D89" s="2" t="s">
        <v>12</v>
      </c>
      <c r="E89" s="2" t="s">
        <v>357</v>
      </c>
      <c r="F89" s="2" t="s">
        <v>12</v>
      </c>
      <c r="G89" s="2" t="s">
        <v>12</v>
      </c>
      <c r="H89" s="2" t="s">
        <v>358</v>
      </c>
      <c r="I89" s="2" t="s">
        <v>359</v>
      </c>
    </row>
    <row r="90" spans="1:9" x14ac:dyDescent="0.3">
      <c r="A90" s="1" t="s">
        <v>360</v>
      </c>
      <c r="B90" s="2" t="s">
        <v>361</v>
      </c>
      <c r="C90" s="2" t="s">
        <v>362</v>
      </c>
      <c r="D90" s="2" t="s">
        <v>12</v>
      </c>
      <c r="E90" s="2" t="s">
        <v>363</v>
      </c>
      <c r="F90" s="2" t="s">
        <v>364</v>
      </c>
      <c r="G90" s="2" t="s">
        <v>12</v>
      </c>
      <c r="H90" s="2" t="s">
        <v>365</v>
      </c>
      <c r="I90" s="2" t="s">
        <v>366</v>
      </c>
    </row>
    <row r="91" spans="1:9" x14ac:dyDescent="0.3">
      <c r="A91" s="1" t="s">
        <v>367</v>
      </c>
      <c r="B91" s="2" t="s">
        <v>368</v>
      </c>
      <c r="C91" s="2" t="s">
        <v>126</v>
      </c>
      <c r="D91" s="2" t="s">
        <v>12</v>
      </c>
      <c r="E91" s="2" t="s">
        <v>12</v>
      </c>
      <c r="F91" s="2" t="s">
        <v>12</v>
      </c>
      <c r="G91" s="2" t="s">
        <v>12</v>
      </c>
      <c r="H91" s="2" t="s">
        <v>369</v>
      </c>
      <c r="I91" s="2" t="s">
        <v>370</v>
      </c>
    </row>
    <row r="92" spans="1:9" x14ac:dyDescent="0.3">
      <c r="A92" s="1" t="s">
        <v>371</v>
      </c>
      <c r="B92" s="2" t="s">
        <v>38</v>
      </c>
      <c r="C92" s="2" t="s">
        <v>52</v>
      </c>
      <c r="D92" s="2" t="s">
        <v>12</v>
      </c>
      <c r="E92" s="2" t="s">
        <v>372</v>
      </c>
      <c r="F92" s="2" t="s">
        <v>12</v>
      </c>
      <c r="G92" s="2" t="s">
        <v>12</v>
      </c>
      <c r="H92" s="2" t="s">
        <v>12</v>
      </c>
      <c r="I92" s="2" t="s">
        <v>373</v>
      </c>
    </row>
    <row r="93" spans="1:9" x14ac:dyDescent="0.3">
      <c r="A93" s="1" t="s">
        <v>374</v>
      </c>
      <c r="B93" s="2" t="s">
        <v>12</v>
      </c>
      <c r="C93" s="2" t="s">
        <v>375</v>
      </c>
      <c r="D93" s="2" t="s">
        <v>12</v>
      </c>
      <c r="E93" s="2" t="s">
        <v>12</v>
      </c>
      <c r="F93" s="2" t="s">
        <v>376</v>
      </c>
      <c r="G93" s="2" t="s">
        <v>377</v>
      </c>
      <c r="H93" s="2" t="s">
        <v>12</v>
      </c>
      <c r="I93" s="2" t="s">
        <v>378</v>
      </c>
    </row>
    <row r="94" spans="1:9" x14ac:dyDescent="0.3">
      <c r="A94" s="1" t="s">
        <v>379</v>
      </c>
      <c r="B94" s="2" t="s">
        <v>380</v>
      </c>
      <c r="C94" s="2" t="s">
        <v>271</v>
      </c>
      <c r="D94" s="2" t="s">
        <v>12</v>
      </c>
      <c r="E94" s="2" t="s">
        <v>12</v>
      </c>
      <c r="F94" s="2" t="s">
        <v>12</v>
      </c>
      <c r="G94" s="2" t="s">
        <v>12</v>
      </c>
      <c r="H94" s="2" t="s">
        <v>12</v>
      </c>
      <c r="I94" s="2" t="s">
        <v>207</v>
      </c>
    </row>
    <row r="95" spans="1:9" x14ac:dyDescent="0.3">
      <c r="A95" s="1" t="s">
        <v>381</v>
      </c>
      <c r="B95" s="2" t="s">
        <v>351</v>
      </c>
      <c r="C95" s="2" t="s">
        <v>382</v>
      </c>
      <c r="D95" s="2" t="s">
        <v>12</v>
      </c>
      <c r="E95" s="2" t="s">
        <v>12</v>
      </c>
      <c r="F95" s="2" t="s">
        <v>383</v>
      </c>
      <c r="G95" s="2" t="s">
        <v>12</v>
      </c>
      <c r="H95" s="2" t="s">
        <v>384</v>
      </c>
      <c r="I95" s="2" t="s">
        <v>385</v>
      </c>
    </row>
    <row r="96" spans="1:9" x14ac:dyDescent="0.3">
      <c r="A96" s="1" t="s">
        <v>386</v>
      </c>
      <c r="B96" s="2" t="s">
        <v>24</v>
      </c>
      <c r="C96" s="2" t="s">
        <v>387</v>
      </c>
      <c r="D96" s="2" t="s">
        <v>12</v>
      </c>
      <c r="E96" s="2" t="s">
        <v>12</v>
      </c>
      <c r="F96" s="2" t="s">
        <v>388</v>
      </c>
      <c r="G96" s="2" t="s">
        <v>12</v>
      </c>
      <c r="H96" s="2" t="s">
        <v>389</v>
      </c>
      <c r="I96" s="2" t="s">
        <v>390</v>
      </c>
    </row>
    <row r="97" spans="1:9" x14ac:dyDescent="0.3">
      <c r="A97" s="1" t="s">
        <v>391</v>
      </c>
      <c r="B97" s="2" t="s">
        <v>392</v>
      </c>
      <c r="C97" s="2" t="s">
        <v>393</v>
      </c>
      <c r="D97" s="2" t="s">
        <v>12</v>
      </c>
      <c r="E97" s="2" t="s">
        <v>12</v>
      </c>
      <c r="F97" s="2" t="s">
        <v>12</v>
      </c>
      <c r="G97" s="2" t="s">
        <v>394</v>
      </c>
      <c r="H97" s="2" t="s">
        <v>12</v>
      </c>
      <c r="I97" s="2" t="s">
        <v>395</v>
      </c>
    </row>
    <row r="98" spans="1:9" x14ac:dyDescent="0.3">
      <c r="A98" s="1" t="s">
        <v>396</v>
      </c>
      <c r="B98" s="2" t="s">
        <v>202</v>
      </c>
      <c r="C98" s="2" t="s">
        <v>397</v>
      </c>
      <c r="D98" s="2" t="s">
        <v>12</v>
      </c>
      <c r="E98" s="2" t="s">
        <v>12</v>
      </c>
      <c r="F98" s="2" t="s">
        <v>12</v>
      </c>
      <c r="G98" s="2" t="s">
        <v>12</v>
      </c>
      <c r="H98" s="2" t="s">
        <v>398</v>
      </c>
      <c r="I98" s="2" t="s">
        <v>399</v>
      </c>
    </row>
    <row r="99" spans="1:9" x14ac:dyDescent="0.3">
      <c r="A99" s="1" t="s">
        <v>400</v>
      </c>
      <c r="B99" s="2" t="s">
        <v>401</v>
      </c>
      <c r="C99" s="2" t="s">
        <v>402</v>
      </c>
      <c r="D99" s="2" t="s">
        <v>12</v>
      </c>
      <c r="E99" s="2" t="s">
        <v>403</v>
      </c>
      <c r="F99" s="2" t="s">
        <v>12</v>
      </c>
      <c r="G99" s="2" t="s">
        <v>12</v>
      </c>
      <c r="H99" s="2" t="s">
        <v>12</v>
      </c>
      <c r="I99" s="2" t="s">
        <v>404</v>
      </c>
    </row>
    <row r="100" spans="1:9" x14ac:dyDescent="0.3">
      <c r="A100" s="1" t="s">
        <v>405</v>
      </c>
      <c r="B100" s="2" t="s">
        <v>232</v>
      </c>
      <c r="C100" s="2" t="s">
        <v>240</v>
      </c>
      <c r="D100" s="2" t="s">
        <v>12</v>
      </c>
      <c r="E100" s="2" t="s">
        <v>12</v>
      </c>
      <c r="F100" s="2" t="s">
        <v>12</v>
      </c>
      <c r="G100" s="2" t="s">
        <v>12</v>
      </c>
      <c r="H100" s="2" t="s">
        <v>12</v>
      </c>
      <c r="I100" s="2" t="s">
        <v>406</v>
      </c>
    </row>
    <row r="101" spans="1:9" x14ac:dyDescent="0.3">
      <c r="A101" s="1" t="s">
        <v>407</v>
      </c>
      <c r="B101" s="2" t="s">
        <v>408</v>
      </c>
      <c r="C101" s="2" t="s">
        <v>409</v>
      </c>
      <c r="D101" s="2" t="s">
        <v>12</v>
      </c>
      <c r="E101" s="2" t="s">
        <v>12</v>
      </c>
      <c r="F101" s="2" t="s">
        <v>12</v>
      </c>
      <c r="G101" s="2" t="s">
        <v>12</v>
      </c>
      <c r="H101" s="2" t="s">
        <v>12</v>
      </c>
      <c r="I101" s="2" t="s">
        <v>207</v>
      </c>
    </row>
    <row r="102" spans="1:9" x14ac:dyDescent="0.3">
      <c r="A102" s="1" t="s">
        <v>410</v>
      </c>
      <c r="B102" s="2" t="s">
        <v>411</v>
      </c>
      <c r="C102" s="2" t="s">
        <v>412</v>
      </c>
      <c r="D102" s="2" t="s">
        <v>12</v>
      </c>
      <c r="E102" s="2" t="s">
        <v>413</v>
      </c>
      <c r="F102" s="2" t="s">
        <v>12</v>
      </c>
      <c r="G102" s="2" t="s">
        <v>12</v>
      </c>
      <c r="H102" s="2" t="s">
        <v>414</v>
      </c>
      <c r="I102" s="2" t="s">
        <v>41</v>
      </c>
    </row>
    <row r="103" spans="1:9" x14ac:dyDescent="0.3">
      <c r="A103" s="1" t="s">
        <v>415</v>
      </c>
      <c r="B103" s="2" t="s">
        <v>125</v>
      </c>
      <c r="C103" s="2" t="s">
        <v>393</v>
      </c>
      <c r="D103" s="2" t="s">
        <v>12</v>
      </c>
      <c r="E103" s="2" t="s">
        <v>12</v>
      </c>
      <c r="F103" s="2" t="s">
        <v>12</v>
      </c>
      <c r="G103" s="2" t="s">
        <v>12</v>
      </c>
      <c r="H103" s="2" t="s">
        <v>416</v>
      </c>
      <c r="I103" s="2" t="s">
        <v>417</v>
      </c>
    </row>
    <row r="104" spans="1:9" x14ac:dyDescent="0.3">
      <c r="A104" s="1" t="s">
        <v>418</v>
      </c>
      <c r="B104" s="2" t="s">
        <v>419</v>
      </c>
      <c r="C104" s="2" t="s">
        <v>420</v>
      </c>
      <c r="D104" s="2" t="s">
        <v>12</v>
      </c>
      <c r="E104" s="2" t="s">
        <v>12</v>
      </c>
      <c r="F104" s="2" t="s">
        <v>12</v>
      </c>
      <c r="G104" s="2" t="s">
        <v>12</v>
      </c>
      <c r="H104" s="2" t="s">
        <v>421</v>
      </c>
      <c r="I104" s="2" t="s">
        <v>422</v>
      </c>
    </row>
    <row r="105" spans="1:9" x14ac:dyDescent="0.3">
      <c r="A105" s="1" t="s">
        <v>423</v>
      </c>
      <c r="B105" s="2" t="s">
        <v>424</v>
      </c>
      <c r="C105" s="2" t="s">
        <v>109</v>
      </c>
      <c r="D105" s="2" t="s">
        <v>425</v>
      </c>
      <c r="E105" s="2" t="s">
        <v>12</v>
      </c>
      <c r="F105" s="2" t="s">
        <v>426</v>
      </c>
      <c r="G105" s="2" t="s">
        <v>12</v>
      </c>
      <c r="H105" s="2" t="s">
        <v>427</v>
      </c>
      <c r="I105" s="2" t="s">
        <v>428</v>
      </c>
    </row>
    <row r="106" spans="1:9" x14ac:dyDescent="0.3">
      <c r="A106" s="1" t="s">
        <v>429</v>
      </c>
      <c r="B106" s="2" t="s">
        <v>430</v>
      </c>
      <c r="C106" s="2" t="s">
        <v>431</v>
      </c>
      <c r="D106" s="2" t="s">
        <v>12</v>
      </c>
      <c r="E106" s="2" t="s">
        <v>12</v>
      </c>
      <c r="F106" s="2" t="s">
        <v>12</v>
      </c>
      <c r="G106" s="2" t="s">
        <v>12</v>
      </c>
      <c r="H106" s="2" t="s">
        <v>12</v>
      </c>
      <c r="I106" s="2" t="s">
        <v>432</v>
      </c>
    </row>
    <row r="107" spans="1:9" x14ac:dyDescent="0.3">
      <c r="A107" s="1" t="s">
        <v>433</v>
      </c>
      <c r="B107" s="2" t="s">
        <v>225</v>
      </c>
      <c r="C107" s="2" t="s">
        <v>434</v>
      </c>
      <c r="D107" s="2" t="s">
        <v>12</v>
      </c>
      <c r="E107" s="2" t="s">
        <v>12</v>
      </c>
      <c r="F107" s="2" t="s">
        <v>12</v>
      </c>
      <c r="G107" s="2" t="s">
        <v>12</v>
      </c>
      <c r="H107" s="2" t="s">
        <v>435</v>
      </c>
      <c r="I107" s="2" t="s">
        <v>436</v>
      </c>
    </row>
    <row r="108" spans="1:9" x14ac:dyDescent="0.3">
      <c r="A108" s="1" t="s">
        <v>437</v>
      </c>
      <c r="B108" s="2" t="s">
        <v>174</v>
      </c>
      <c r="C108" s="2" t="s">
        <v>151</v>
      </c>
      <c r="D108" s="2" t="s">
        <v>438</v>
      </c>
      <c r="E108" s="2" t="s">
        <v>12</v>
      </c>
      <c r="F108" s="2" t="s">
        <v>12</v>
      </c>
      <c r="G108" s="2" t="s">
        <v>12</v>
      </c>
      <c r="H108" s="2" t="s">
        <v>12</v>
      </c>
      <c r="I108" s="2" t="s">
        <v>439</v>
      </c>
    </row>
    <row r="109" spans="1:9" x14ac:dyDescent="0.3">
      <c r="A109" s="1" t="s">
        <v>440</v>
      </c>
      <c r="B109" s="2" t="s">
        <v>441</v>
      </c>
      <c r="C109" s="2" t="s">
        <v>442</v>
      </c>
      <c r="D109" s="2" t="s">
        <v>12</v>
      </c>
      <c r="E109" s="2" t="s">
        <v>12</v>
      </c>
      <c r="F109" s="2" t="s">
        <v>12</v>
      </c>
      <c r="G109" s="2" t="s">
        <v>12</v>
      </c>
      <c r="H109" s="2" t="s">
        <v>12</v>
      </c>
      <c r="I109" s="2" t="s">
        <v>443</v>
      </c>
    </row>
    <row r="110" spans="1:9" x14ac:dyDescent="0.3">
      <c r="A110" s="1" t="s">
        <v>444</v>
      </c>
      <c r="B110" s="2" t="s">
        <v>82</v>
      </c>
      <c r="C110" s="2" t="s">
        <v>126</v>
      </c>
      <c r="D110" s="2" t="s">
        <v>12</v>
      </c>
      <c r="E110" s="2" t="s">
        <v>12</v>
      </c>
      <c r="F110" s="2" t="s">
        <v>12</v>
      </c>
      <c r="G110" s="2" t="s">
        <v>12</v>
      </c>
      <c r="H110" s="2" t="s">
        <v>12</v>
      </c>
      <c r="I110" s="2" t="s">
        <v>445</v>
      </c>
    </row>
    <row r="111" spans="1:9" x14ac:dyDescent="0.3">
      <c r="A111" s="1" t="s">
        <v>446</v>
      </c>
      <c r="B111" s="2" t="s">
        <v>447</v>
      </c>
      <c r="C111" s="2" t="s">
        <v>448</v>
      </c>
      <c r="D111" s="2" t="s">
        <v>12</v>
      </c>
      <c r="E111" s="2" t="s">
        <v>12</v>
      </c>
      <c r="F111" s="2" t="s">
        <v>12</v>
      </c>
      <c r="G111" s="2" t="s">
        <v>12</v>
      </c>
      <c r="H111" s="2" t="s">
        <v>12</v>
      </c>
      <c r="I111" s="2" t="s">
        <v>449</v>
      </c>
    </row>
    <row r="112" spans="1:9" x14ac:dyDescent="0.3">
      <c r="A112" s="1" t="s">
        <v>450</v>
      </c>
      <c r="B112" s="2" t="s">
        <v>19</v>
      </c>
      <c r="C112" s="2" t="s">
        <v>451</v>
      </c>
      <c r="D112" s="2" t="s">
        <v>12</v>
      </c>
      <c r="E112" s="2" t="s">
        <v>12</v>
      </c>
      <c r="F112" s="2" t="s">
        <v>12</v>
      </c>
      <c r="G112" s="2" t="s">
        <v>12</v>
      </c>
      <c r="H112" s="2" t="s">
        <v>452</v>
      </c>
      <c r="I112" s="2" t="s">
        <v>453</v>
      </c>
    </row>
    <row r="113" spans="1:9" x14ac:dyDescent="0.3">
      <c r="A113" s="1" t="s">
        <v>454</v>
      </c>
      <c r="B113" s="2" t="s">
        <v>455</v>
      </c>
      <c r="C113" s="2" t="s">
        <v>29</v>
      </c>
      <c r="D113" s="2" t="s">
        <v>12</v>
      </c>
      <c r="E113" s="2" t="s">
        <v>12</v>
      </c>
      <c r="F113" s="2" t="s">
        <v>12</v>
      </c>
      <c r="G113" s="2" t="s">
        <v>12</v>
      </c>
      <c r="H113" s="2" t="s">
        <v>12</v>
      </c>
      <c r="I113" s="2" t="s">
        <v>456</v>
      </c>
    </row>
    <row r="114" spans="1:9" x14ac:dyDescent="0.3">
      <c r="A114" s="1" t="s">
        <v>457</v>
      </c>
      <c r="B114" s="2" t="s">
        <v>458</v>
      </c>
      <c r="C114" s="2" t="s">
        <v>459</v>
      </c>
      <c r="D114" s="2" t="s">
        <v>12</v>
      </c>
      <c r="E114" s="2" t="s">
        <v>12</v>
      </c>
      <c r="F114" s="2" t="s">
        <v>12</v>
      </c>
      <c r="G114" s="2" t="s">
        <v>12</v>
      </c>
      <c r="H114" s="2" t="s">
        <v>12</v>
      </c>
      <c r="I114" s="2" t="s">
        <v>460</v>
      </c>
    </row>
    <row r="115" spans="1:9" x14ac:dyDescent="0.3">
      <c r="A115" s="1" t="s">
        <v>461</v>
      </c>
      <c r="B115" s="2" t="s">
        <v>361</v>
      </c>
      <c r="C115" s="2" t="s">
        <v>264</v>
      </c>
      <c r="D115" s="2" t="s">
        <v>12</v>
      </c>
      <c r="E115" s="2" t="s">
        <v>12</v>
      </c>
      <c r="F115" s="2" t="s">
        <v>12</v>
      </c>
      <c r="G115" s="2" t="s">
        <v>376</v>
      </c>
      <c r="H115" s="2" t="s">
        <v>462</v>
      </c>
      <c r="I115" s="2" t="s">
        <v>463</v>
      </c>
    </row>
    <row r="116" spans="1:9" x14ac:dyDescent="0.3">
      <c r="A116" s="1" t="s">
        <v>464</v>
      </c>
      <c r="B116" s="2" t="s">
        <v>202</v>
      </c>
      <c r="C116" s="2" t="s">
        <v>271</v>
      </c>
      <c r="D116" s="2" t="s">
        <v>12</v>
      </c>
      <c r="E116" s="2" t="s">
        <v>12</v>
      </c>
      <c r="F116" s="2" t="s">
        <v>12</v>
      </c>
      <c r="G116" s="2" t="s">
        <v>12</v>
      </c>
      <c r="H116" s="2" t="s">
        <v>12</v>
      </c>
      <c r="I116" s="2" t="s">
        <v>465</v>
      </c>
    </row>
    <row r="117" spans="1:9" x14ac:dyDescent="0.3">
      <c r="A117" s="1" t="s">
        <v>466</v>
      </c>
      <c r="B117" s="2" t="s">
        <v>467</v>
      </c>
      <c r="C117" s="2" t="s">
        <v>338</v>
      </c>
      <c r="D117" s="2" t="s">
        <v>12</v>
      </c>
      <c r="E117" s="2" t="s">
        <v>12</v>
      </c>
      <c r="F117" s="2" t="s">
        <v>12</v>
      </c>
      <c r="G117" s="2" t="s">
        <v>12</v>
      </c>
      <c r="H117" s="2" t="s">
        <v>12</v>
      </c>
      <c r="I117" s="2" t="s">
        <v>26</v>
      </c>
    </row>
    <row r="118" spans="1:9" x14ac:dyDescent="0.3">
      <c r="A118" s="1" t="s">
        <v>468</v>
      </c>
      <c r="B118" s="2" t="s">
        <v>469</v>
      </c>
      <c r="C118" s="2" t="s">
        <v>470</v>
      </c>
      <c r="D118" s="2" t="s">
        <v>12</v>
      </c>
      <c r="E118" s="2" t="s">
        <v>12</v>
      </c>
      <c r="F118" s="2" t="s">
        <v>12</v>
      </c>
      <c r="G118" s="2" t="s">
        <v>12</v>
      </c>
      <c r="H118" s="2" t="s">
        <v>12</v>
      </c>
      <c r="I118" s="2" t="s">
        <v>471</v>
      </c>
    </row>
    <row r="119" spans="1:9" x14ac:dyDescent="0.3">
      <c r="A119" s="1" t="s">
        <v>472</v>
      </c>
      <c r="B119" s="2" t="s">
        <v>473</v>
      </c>
      <c r="C119" s="2" t="s">
        <v>271</v>
      </c>
      <c r="D119" s="2" t="s">
        <v>12</v>
      </c>
      <c r="E119" s="2" t="s">
        <v>12</v>
      </c>
      <c r="F119" s="2" t="s">
        <v>12</v>
      </c>
      <c r="G119" s="2" t="s">
        <v>12</v>
      </c>
      <c r="H119" s="2" t="s">
        <v>474</v>
      </c>
      <c r="I119" s="2" t="s">
        <v>475</v>
      </c>
    </row>
    <row r="120" spans="1:9" x14ac:dyDescent="0.3">
      <c r="A120" s="1" t="s">
        <v>476</v>
      </c>
      <c r="B120" s="2" t="s">
        <v>477</v>
      </c>
      <c r="C120" s="2" t="s">
        <v>478</v>
      </c>
      <c r="D120" s="2" t="s">
        <v>12</v>
      </c>
      <c r="E120" s="2" t="s">
        <v>12</v>
      </c>
      <c r="F120" s="2" t="s">
        <v>12</v>
      </c>
      <c r="G120" s="2" t="s">
        <v>12</v>
      </c>
      <c r="H120" s="2" t="s">
        <v>479</v>
      </c>
      <c r="I120" s="2" t="s">
        <v>480</v>
      </c>
    </row>
    <row r="121" spans="1:9" x14ac:dyDescent="0.3">
      <c r="A121" s="1" t="s">
        <v>481</v>
      </c>
      <c r="B121" s="2" t="s">
        <v>482</v>
      </c>
      <c r="C121" s="2" t="s">
        <v>155</v>
      </c>
      <c r="D121" s="2" t="s">
        <v>12</v>
      </c>
      <c r="E121" s="2" t="s">
        <v>12</v>
      </c>
      <c r="F121" s="2" t="s">
        <v>12</v>
      </c>
      <c r="G121" s="2" t="s">
        <v>12</v>
      </c>
      <c r="H121" s="2" t="s">
        <v>12</v>
      </c>
      <c r="I121" s="2" t="s">
        <v>483</v>
      </c>
    </row>
    <row r="122" spans="1:9" x14ac:dyDescent="0.3">
      <c r="A122" s="1" t="s">
        <v>484</v>
      </c>
      <c r="B122" s="2" t="s">
        <v>346</v>
      </c>
      <c r="C122" s="2" t="s">
        <v>485</v>
      </c>
      <c r="D122" s="2" t="s">
        <v>12</v>
      </c>
      <c r="E122" s="2" t="s">
        <v>12</v>
      </c>
      <c r="F122" s="2" t="s">
        <v>486</v>
      </c>
      <c r="G122" s="2" t="s">
        <v>12</v>
      </c>
      <c r="H122" s="2" t="s">
        <v>12</v>
      </c>
      <c r="I122" s="2" t="s">
        <v>487</v>
      </c>
    </row>
    <row r="123" spans="1:9" x14ac:dyDescent="0.3">
      <c r="A123" s="1" t="s">
        <v>488</v>
      </c>
      <c r="B123" s="2" t="s">
        <v>489</v>
      </c>
      <c r="C123" s="2" t="s">
        <v>490</v>
      </c>
      <c r="D123" s="2" t="s">
        <v>491</v>
      </c>
      <c r="E123" s="2" t="s">
        <v>12</v>
      </c>
      <c r="F123" s="2" t="s">
        <v>12</v>
      </c>
      <c r="G123" s="2" t="s">
        <v>12</v>
      </c>
      <c r="H123" s="2" t="s">
        <v>492</v>
      </c>
      <c r="I123" s="2" t="s">
        <v>493</v>
      </c>
    </row>
    <row r="124" spans="1:9" x14ac:dyDescent="0.3">
      <c r="A124" s="1" t="s">
        <v>494</v>
      </c>
      <c r="B124" s="2" t="s">
        <v>489</v>
      </c>
      <c r="C124" s="2" t="s">
        <v>130</v>
      </c>
      <c r="D124" s="2" t="s">
        <v>12</v>
      </c>
      <c r="E124" s="2" t="s">
        <v>12</v>
      </c>
      <c r="F124" s="2" t="s">
        <v>12</v>
      </c>
      <c r="G124" s="2" t="s">
        <v>12</v>
      </c>
      <c r="H124" s="2" t="s">
        <v>12</v>
      </c>
      <c r="I124" s="2" t="s">
        <v>17</v>
      </c>
    </row>
    <row r="125" spans="1:9" x14ac:dyDescent="0.3">
      <c r="A125" s="1" t="s">
        <v>495</v>
      </c>
      <c r="B125" s="2" t="s">
        <v>496</v>
      </c>
      <c r="C125" s="2" t="s">
        <v>78</v>
      </c>
      <c r="D125" s="2" t="s">
        <v>12</v>
      </c>
      <c r="E125" s="2" t="s">
        <v>12</v>
      </c>
      <c r="F125" s="2" t="s">
        <v>12</v>
      </c>
      <c r="G125" s="2" t="s">
        <v>12</v>
      </c>
      <c r="H125" s="2" t="s">
        <v>12</v>
      </c>
      <c r="I125" s="2" t="s">
        <v>497</v>
      </c>
    </row>
    <row r="126" spans="1:9" x14ac:dyDescent="0.3">
      <c r="A126" s="1" t="s">
        <v>498</v>
      </c>
      <c r="B126" s="2" t="s">
        <v>499</v>
      </c>
      <c r="C126" s="2" t="s">
        <v>500</v>
      </c>
      <c r="D126" s="2" t="s">
        <v>12</v>
      </c>
      <c r="E126" s="2" t="s">
        <v>12</v>
      </c>
      <c r="F126" s="2" t="s">
        <v>12</v>
      </c>
      <c r="G126" s="2" t="s">
        <v>12</v>
      </c>
      <c r="H126" s="2" t="s">
        <v>126</v>
      </c>
      <c r="I126" s="2" t="s">
        <v>501</v>
      </c>
    </row>
    <row r="127" spans="1:9" x14ac:dyDescent="0.3">
      <c r="A127" s="1" t="s">
        <v>502</v>
      </c>
      <c r="B127" s="2" t="s">
        <v>503</v>
      </c>
      <c r="C127" s="2" t="s">
        <v>504</v>
      </c>
      <c r="D127" s="2" t="s">
        <v>12</v>
      </c>
      <c r="E127" s="2" t="s">
        <v>12</v>
      </c>
      <c r="F127" s="2" t="s">
        <v>505</v>
      </c>
      <c r="G127" s="2" t="s">
        <v>12</v>
      </c>
      <c r="H127" s="2" t="s">
        <v>12</v>
      </c>
      <c r="I127" s="2" t="s">
        <v>506</v>
      </c>
    </row>
    <row r="128" spans="1:9" x14ac:dyDescent="0.3">
      <c r="A128" s="1" t="s">
        <v>507</v>
      </c>
      <c r="B128" s="2" t="s">
        <v>489</v>
      </c>
      <c r="C128" s="2" t="s">
        <v>508</v>
      </c>
      <c r="D128" s="2" t="s">
        <v>12</v>
      </c>
      <c r="E128" s="2" t="s">
        <v>509</v>
      </c>
      <c r="F128" s="2" t="s">
        <v>12</v>
      </c>
      <c r="G128" s="2" t="s">
        <v>12</v>
      </c>
      <c r="H128" s="2" t="s">
        <v>12</v>
      </c>
      <c r="I128" s="2" t="s">
        <v>510</v>
      </c>
    </row>
    <row r="129" spans="1:9" x14ac:dyDescent="0.3">
      <c r="A129" s="1" t="s">
        <v>511</v>
      </c>
      <c r="B129" s="2" t="s">
        <v>162</v>
      </c>
      <c r="C129" s="2" t="s">
        <v>512</v>
      </c>
      <c r="D129" s="2" t="s">
        <v>12</v>
      </c>
      <c r="E129" s="2" t="s">
        <v>12</v>
      </c>
      <c r="F129" s="2" t="s">
        <v>12</v>
      </c>
      <c r="G129" s="2" t="s">
        <v>513</v>
      </c>
      <c r="H129" s="2" t="s">
        <v>12</v>
      </c>
      <c r="I129" s="2" t="s">
        <v>514</v>
      </c>
    </row>
    <row r="130" spans="1:9" x14ac:dyDescent="0.3">
      <c r="A130" s="1" t="s">
        <v>515</v>
      </c>
      <c r="B130" s="2" t="s">
        <v>118</v>
      </c>
      <c r="C130" s="2" t="s">
        <v>516</v>
      </c>
      <c r="D130" s="2" t="s">
        <v>12</v>
      </c>
      <c r="E130" s="2" t="s">
        <v>517</v>
      </c>
      <c r="F130" s="2" t="s">
        <v>518</v>
      </c>
      <c r="G130" s="2" t="s">
        <v>12</v>
      </c>
      <c r="H130" s="2" t="s">
        <v>12</v>
      </c>
      <c r="I130" s="2" t="s">
        <v>519</v>
      </c>
    </row>
    <row r="131" spans="1:9" x14ac:dyDescent="0.3">
      <c r="A131" s="1" t="s">
        <v>520</v>
      </c>
      <c r="B131" s="2" t="s">
        <v>19</v>
      </c>
      <c r="C131" s="2" t="s">
        <v>521</v>
      </c>
      <c r="D131" s="2" t="s">
        <v>12</v>
      </c>
      <c r="E131" s="2" t="s">
        <v>12</v>
      </c>
      <c r="F131" s="2" t="s">
        <v>12</v>
      </c>
      <c r="G131" s="2" t="s">
        <v>12</v>
      </c>
      <c r="H131" s="2" t="s">
        <v>12</v>
      </c>
      <c r="I131" s="2" t="s">
        <v>522</v>
      </c>
    </row>
    <row r="132" spans="1:9" x14ac:dyDescent="0.3">
      <c r="A132" s="1" t="s">
        <v>523</v>
      </c>
      <c r="B132" s="2" t="s">
        <v>168</v>
      </c>
      <c r="C132" s="2" t="s">
        <v>512</v>
      </c>
      <c r="D132" s="2" t="s">
        <v>12</v>
      </c>
      <c r="E132" s="2" t="s">
        <v>12</v>
      </c>
      <c r="F132" s="2" t="s">
        <v>12</v>
      </c>
      <c r="G132" s="2" t="s">
        <v>12</v>
      </c>
      <c r="H132" s="2" t="s">
        <v>524</v>
      </c>
      <c r="I132" s="2" t="s">
        <v>525</v>
      </c>
    </row>
    <row r="133" spans="1:9" x14ac:dyDescent="0.3">
      <c r="A133" s="1" t="s">
        <v>526</v>
      </c>
      <c r="B133" s="2" t="s">
        <v>59</v>
      </c>
      <c r="C133" s="2" t="s">
        <v>527</v>
      </c>
      <c r="D133" s="2" t="s">
        <v>12</v>
      </c>
      <c r="E133" s="2" t="s">
        <v>12</v>
      </c>
      <c r="F133" s="2" t="s">
        <v>12</v>
      </c>
      <c r="G133" s="2" t="s">
        <v>12</v>
      </c>
      <c r="H133" s="2" t="s">
        <v>528</v>
      </c>
      <c r="I133" s="2" t="s">
        <v>529</v>
      </c>
    </row>
    <row r="134" spans="1:9" x14ac:dyDescent="0.3">
      <c r="A134" s="1" t="s">
        <v>530</v>
      </c>
      <c r="B134" s="2" t="s">
        <v>531</v>
      </c>
      <c r="C134" s="2" t="s">
        <v>532</v>
      </c>
      <c r="D134" s="2" t="s">
        <v>12</v>
      </c>
      <c r="E134" s="2" t="s">
        <v>12</v>
      </c>
      <c r="F134" s="2" t="s">
        <v>12</v>
      </c>
      <c r="G134" s="2" t="s">
        <v>12</v>
      </c>
      <c r="H134" s="2" t="s">
        <v>12</v>
      </c>
      <c r="I134" s="2" t="s">
        <v>533</v>
      </c>
    </row>
    <row r="135" spans="1:9" x14ac:dyDescent="0.3">
      <c r="A135" s="1" t="s">
        <v>534</v>
      </c>
      <c r="B135" s="2" t="s">
        <v>535</v>
      </c>
      <c r="C135" s="2" t="s">
        <v>536</v>
      </c>
      <c r="D135" s="2" t="s">
        <v>376</v>
      </c>
      <c r="E135" s="2" t="s">
        <v>12</v>
      </c>
      <c r="F135" s="2" t="s">
        <v>12</v>
      </c>
      <c r="G135" s="2" t="s">
        <v>537</v>
      </c>
      <c r="H135" s="2" t="s">
        <v>538</v>
      </c>
      <c r="I135" s="2" t="s">
        <v>539</v>
      </c>
    </row>
    <row r="136" spans="1:9" x14ac:dyDescent="0.3">
      <c r="A136" s="1" t="s">
        <v>540</v>
      </c>
      <c r="B136" s="2" t="s">
        <v>541</v>
      </c>
      <c r="C136" s="2" t="s">
        <v>280</v>
      </c>
      <c r="D136" s="2" t="s">
        <v>542</v>
      </c>
      <c r="E136" s="2" t="s">
        <v>12</v>
      </c>
      <c r="F136" s="2" t="s">
        <v>12</v>
      </c>
      <c r="G136" s="2" t="s">
        <v>12</v>
      </c>
      <c r="H136" s="2" t="s">
        <v>12</v>
      </c>
      <c r="I136" s="2" t="s">
        <v>543</v>
      </c>
    </row>
    <row r="137" spans="1:9" x14ac:dyDescent="0.3">
      <c r="A137" s="1" t="s">
        <v>544</v>
      </c>
      <c r="B137" s="2" t="s">
        <v>545</v>
      </c>
      <c r="C137" s="2" t="s">
        <v>546</v>
      </c>
      <c r="D137" s="2" t="s">
        <v>12</v>
      </c>
      <c r="E137" s="2" t="s">
        <v>547</v>
      </c>
      <c r="F137" s="2" t="s">
        <v>12</v>
      </c>
      <c r="G137" s="2" t="s">
        <v>12</v>
      </c>
      <c r="H137" s="2" t="s">
        <v>12</v>
      </c>
      <c r="I137" s="2" t="s">
        <v>548</v>
      </c>
    </row>
    <row r="138" spans="1:9" x14ac:dyDescent="0.3">
      <c r="A138" s="1" t="s">
        <v>549</v>
      </c>
      <c r="B138" s="2" t="s">
        <v>550</v>
      </c>
      <c r="C138" s="2" t="s">
        <v>551</v>
      </c>
      <c r="D138" s="2" t="s">
        <v>12</v>
      </c>
      <c r="E138" s="2" t="s">
        <v>12</v>
      </c>
      <c r="F138" s="2" t="s">
        <v>12</v>
      </c>
      <c r="G138" s="2" t="s">
        <v>12</v>
      </c>
      <c r="H138" s="2" t="s">
        <v>12</v>
      </c>
      <c r="I138" s="2" t="s">
        <v>552</v>
      </c>
    </row>
    <row r="139" spans="1:9" x14ac:dyDescent="0.3">
      <c r="A139" s="1" t="s">
        <v>553</v>
      </c>
      <c r="B139" s="2" t="s">
        <v>12</v>
      </c>
      <c r="C139" s="2" t="s">
        <v>554</v>
      </c>
      <c r="D139" s="2" t="s">
        <v>12</v>
      </c>
      <c r="E139" s="2" t="s">
        <v>12</v>
      </c>
      <c r="F139" s="2" t="s">
        <v>555</v>
      </c>
      <c r="G139" s="2" t="s">
        <v>12</v>
      </c>
      <c r="H139" s="2" t="s">
        <v>12</v>
      </c>
      <c r="I139" s="2" t="s">
        <v>556</v>
      </c>
    </row>
    <row r="140" spans="1:9" x14ac:dyDescent="0.3">
      <c r="A140" s="1" t="s">
        <v>557</v>
      </c>
      <c r="B140" s="2" t="s">
        <v>232</v>
      </c>
      <c r="C140" s="2" t="s">
        <v>500</v>
      </c>
      <c r="D140" s="2" t="s">
        <v>558</v>
      </c>
      <c r="E140" s="2" t="s">
        <v>12</v>
      </c>
      <c r="F140" s="2" t="s">
        <v>12</v>
      </c>
      <c r="G140" s="2" t="s">
        <v>12</v>
      </c>
      <c r="H140" s="2" t="s">
        <v>12</v>
      </c>
      <c r="I140" s="2" t="s">
        <v>559</v>
      </c>
    </row>
    <row r="141" spans="1:9" x14ac:dyDescent="0.3">
      <c r="A141" s="1" t="s">
        <v>560</v>
      </c>
      <c r="B141" s="2" t="s">
        <v>129</v>
      </c>
      <c r="C141" s="2" t="s">
        <v>211</v>
      </c>
      <c r="D141" s="2" t="s">
        <v>12</v>
      </c>
      <c r="E141" s="2" t="s">
        <v>12</v>
      </c>
      <c r="F141" s="2" t="s">
        <v>12</v>
      </c>
      <c r="G141" s="2" t="s">
        <v>12</v>
      </c>
      <c r="H141" s="2" t="s">
        <v>12</v>
      </c>
      <c r="I141" s="2" t="s">
        <v>561</v>
      </c>
    </row>
    <row r="142" spans="1:9" x14ac:dyDescent="0.3">
      <c r="A142" s="1" t="s">
        <v>562</v>
      </c>
      <c r="B142" s="2" t="s">
        <v>563</v>
      </c>
      <c r="C142" s="2" t="s">
        <v>564</v>
      </c>
      <c r="D142" s="2" t="s">
        <v>12</v>
      </c>
      <c r="E142" s="2" t="s">
        <v>565</v>
      </c>
      <c r="F142" s="2" t="s">
        <v>566</v>
      </c>
      <c r="G142" s="2" t="s">
        <v>12</v>
      </c>
      <c r="H142" s="2" t="s">
        <v>12</v>
      </c>
      <c r="I142" s="2" t="s">
        <v>567</v>
      </c>
    </row>
    <row r="143" spans="1:9" x14ac:dyDescent="0.3">
      <c r="A143" s="1" t="s">
        <v>568</v>
      </c>
      <c r="B143" s="2" t="s">
        <v>569</v>
      </c>
      <c r="C143" s="2" t="s">
        <v>248</v>
      </c>
      <c r="D143" s="2" t="s">
        <v>12</v>
      </c>
      <c r="E143" s="2" t="s">
        <v>12</v>
      </c>
      <c r="F143" s="2" t="s">
        <v>12</v>
      </c>
      <c r="G143" s="2" t="s">
        <v>12</v>
      </c>
      <c r="H143" s="2" t="s">
        <v>12</v>
      </c>
      <c r="I143" s="2" t="s">
        <v>221</v>
      </c>
    </row>
    <row r="144" spans="1:9" x14ac:dyDescent="0.3">
      <c r="A144" s="1" t="s">
        <v>570</v>
      </c>
      <c r="B144" s="2" t="s">
        <v>571</v>
      </c>
      <c r="C144" s="2" t="s">
        <v>572</v>
      </c>
      <c r="D144" s="2" t="s">
        <v>12</v>
      </c>
      <c r="E144" s="2" t="s">
        <v>12</v>
      </c>
      <c r="F144" s="2" t="s">
        <v>12</v>
      </c>
      <c r="G144" s="2" t="s">
        <v>12</v>
      </c>
      <c r="H144" s="2" t="s">
        <v>573</v>
      </c>
      <c r="I144" s="2" t="s">
        <v>574</v>
      </c>
    </row>
    <row r="145" spans="1:9" x14ac:dyDescent="0.3">
      <c r="A145" s="1" t="s">
        <v>575</v>
      </c>
      <c r="B145" s="2" t="s">
        <v>174</v>
      </c>
      <c r="C145" s="2" t="s">
        <v>576</v>
      </c>
      <c r="D145" s="2" t="s">
        <v>12</v>
      </c>
      <c r="E145" s="2" t="s">
        <v>12</v>
      </c>
      <c r="F145" s="2" t="s">
        <v>12</v>
      </c>
      <c r="G145" s="2" t="s">
        <v>12</v>
      </c>
      <c r="H145" s="2" t="s">
        <v>12</v>
      </c>
      <c r="I145" s="2" t="s">
        <v>370</v>
      </c>
    </row>
    <row r="146" spans="1:9" x14ac:dyDescent="0.3">
      <c r="A146" s="1" t="s">
        <v>577</v>
      </c>
      <c r="B146" s="2" t="s">
        <v>108</v>
      </c>
      <c r="C146" s="2" t="s">
        <v>578</v>
      </c>
      <c r="D146" s="2" t="s">
        <v>12</v>
      </c>
      <c r="E146" s="2" t="s">
        <v>12</v>
      </c>
      <c r="F146" s="2" t="s">
        <v>12</v>
      </c>
      <c r="G146" s="2" t="s">
        <v>12</v>
      </c>
      <c r="H146" s="2" t="s">
        <v>12</v>
      </c>
      <c r="I146" s="2" t="s">
        <v>579</v>
      </c>
    </row>
    <row r="147" spans="1:9" x14ac:dyDescent="0.3">
      <c r="A147" s="1" t="s">
        <v>580</v>
      </c>
      <c r="B147" s="2" t="s">
        <v>581</v>
      </c>
      <c r="C147" s="2" t="s">
        <v>582</v>
      </c>
      <c r="D147" s="2" t="s">
        <v>12</v>
      </c>
      <c r="E147" s="2" t="s">
        <v>583</v>
      </c>
      <c r="F147" s="2" t="s">
        <v>12</v>
      </c>
      <c r="G147" s="2" t="s">
        <v>12</v>
      </c>
      <c r="H147" s="2" t="s">
        <v>584</v>
      </c>
      <c r="I147" s="2" t="s">
        <v>585</v>
      </c>
    </row>
    <row r="148" spans="1:9" x14ac:dyDescent="0.3">
      <c r="A148" s="1" t="s">
        <v>586</v>
      </c>
      <c r="B148" s="2" t="s">
        <v>587</v>
      </c>
      <c r="C148" s="2" t="s">
        <v>588</v>
      </c>
      <c r="D148" s="2" t="s">
        <v>12</v>
      </c>
      <c r="E148" s="2" t="s">
        <v>12</v>
      </c>
      <c r="F148" s="2" t="s">
        <v>12</v>
      </c>
      <c r="G148" s="2" t="s">
        <v>12</v>
      </c>
      <c r="H148" s="2" t="s">
        <v>12</v>
      </c>
      <c r="I148" s="2" t="s">
        <v>589</v>
      </c>
    </row>
    <row r="149" spans="1:9" x14ac:dyDescent="0.3">
      <c r="A149" s="1" t="s">
        <v>590</v>
      </c>
      <c r="B149" s="2" t="s">
        <v>12</v>
      </c>
      <c r="C149" s="2" t="s">
        <v>591</v>
      </c>
      <c r="D149" s="2" t="s">
        <v>12</v>
      </c>
      <c r="E149" s="2" t="s">
        <v>12</v>
      </c>
      <c r="F149" s="2" t="s">
        <v>12</v>
      </c>
      <c r="G149" s="2" t="s">
        <v>12</v>
      </c>
      <c r="H149" s="2" t="s">
        <v>12</v>
      </c>
      <c r="I149" s="2" t="s">
        <v>375</v>
      </c>
    </row>
    <row r="150" spans="1:9" x14ac:dyDescent="0.3">
      <c r="A150" s="1" t="s">
        <v>592</v>
      </c>
      <c r="B150" s="2" t="s">
        <v>593</v>
      </c>
      <c r="C150" s="2" t="s">
        <v>594</v>
      </c>
      <c r="D150" s="2" t="s">
        <v>595</v>
      </c>
      <c r="E150" s="2" t="s">
        <v>12</v>
      </c>
      <c r="F150" s="2" t="s">
        <v>12</v>
      </c>
      <c r="G150" s="2" t="s">
        <v>12</v>
      </c>
      <c r="H150" s="2" t="s">
        <v>12</v>
      </c>
      <c r="I150" s="2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6642B-3554-41CA-88A5-B6A9F3A76DD5}">
  <sheetPr codeName="Sheet2"/>
  <dimension ref="A1:Q150"/>
  <sheetViews>
    <sheetView workbookViewId="0">
      <selection activeCell="D6" sqref="D6"/>
    </sheetView>
  </sheetViews>
  <sheetFormatPr defaultRowHeight="14.4" x14ac:dyDescent="0.3"/>
  <cols>
    <col min="1" max="1" width="31.44140625" bestFit="1" customWidth="1"/>
    <col min="2" max="2" width="9.77734375" customWidth="1"/>
    <col min="3" max="3" width="11.109375" customWidth="1"/>
    <col min="4" max="4" width="10.21875" customWidth="1"/>
    <col min="5" max="5" width="11.44140625" customWidth="1"/>
    <col min="6" max="7" width="7.44140625" bestFit="1" customWidth="1"/>
    <col min="8" max="8" width="6.44140625" bestFit="1" customWidth="1"/>
    <col min="9" max="9" width="10.6640625" customWidth="1"/>
    <col min="10" max="10" width="8.77734375" bestFit="1" customWidth="1"/>
    <col min="11" max="12" width="7.44140625" bestFit="1" customWidth="1"/>
    <col min="13" max="13" width="6.44140625" bestFit="1" customWidth="1"/>
    <col min="14" max="14" width="5.77734375" bestFit="1" customWidth="1"/>
    <col min="15" max="16" width="6.44140625" bestFit="1" customWidth="1"/>
    <col min="17" max="17" width="8.6640625" bestFit="1" customWidth="1"/>
  </cols>
  <sheetData>
    <row r="1" spans="1:17" ht="52.8" x14ac:dyDescent="0.3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">
      <c r="A2" s="1" t="s">
        <v>9</v>
      </c>
      <c r="B2" s="12" t="s">
        <v>612</v>
      </c>
      <c r="C2" s="2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">
      <c r="A3" s="1" t="s">
        <v>14</v>
      </c>
      <c r="B3" s="12" t="s">
        <v>614</v>
      </c>
      <c r="C3" s="2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">
      <c r="A4" s="1" t="s">
        <v>18</v>
      </c>
      <c r="B4" s="12" t="s">
        <v>616</v>
      </c>
      <c r="C4" s="2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">
      <c r="A5" s="1" t="s">
        <v>23</v>
      </c>
      <c r="B5" s="12" t="s">
        <v>618</v>
      </c>
      <c r="C5" s="2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">
      <c r="A6" s="1" t="s">
        <v>28</v>
      </c>
      <c r="B6" s="12" t="s">
        <v>620</v>
      </c>
      <c r="C6" s="2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">
      <c r="A7" s="1" t="s">
        <v>33</v>
      </c>
      <c r="B7" s="12" t="s">
        <v>622</v>
      </c>
      <c r="C7" s="2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">
      <c r="A8" s="1" t="s">
        <v>37</v>
      </c>
      <c r="B8" s="12" t="s">
        <v>624</v>
      </c>
      <c r="C8" s="2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">
      <c r="A9" s="1" t="s">
        <v>42</v>
      </c>
      <c r="B9" s="12" t="s">
        <v>626</v>
      </c>
      <c r="C9" s="2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">
      <c r="A10" s="1" t="s">
        <v>46</v>
      </c>
      <c r="B10" s="12" t="s">
        <v>628</v>
      </c>
      <c r="C10" s="2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">
      <c r="A11" s="1" t="s">
        <v>50</v>
      </c>
      <c r="B11" s="12" t="s">
        <v>630</v>
      </c>
      <c r="C11" s="2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">
      <c r="A12" s="1" t="s">
        <v>54</v>
      </c>
      <c r="B12" s="12" t="s">
        <v>632</v>
      </c>
      <c r="C12" s="2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">
      <c r="A13" s="1" t="s">
        <v>58</v>
      </c>
      <c r="B13" s="12" t="s">
        <v>634</v>
      </c>
      <c r="C13" s="2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">
      <c r="A14" s="1" t="s">
        <v>63</v>
      </c>
      <c r="B14" s="12" t="s">
        <v>636</v>
      </c>
      <c r="C14" s="2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">
      <c r="A15" s="1" t="s">
        <v>68</v>
      </c>
      <c r="B15" s="12" t="s">
        <v>638</v>
      </c>
      <c r="C15" s="2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">
      <c r="A16" s="1" t="s">
        <v>72</v>
      </c>
      <c r="B16" s="12" t="s">
        <v>640</v>
      </c>
      <c r="C16" s="2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">
      <c r="A17" s="1" t="s">
        <v>76</v>
      </c>
      <c r="B17" s="12" t="s">
        <v>642</v>
      </c>
      <c r="C17" s="2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">
      <c r="A18" s="1" t="s">
        <v>81</v>
      </c>
      <c r="B18" s="12" t="s">
        <v>644</v>
      </c>
      <c r="C18" s="2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">
      <c r="A19" s="1" t="s">
        <v>85</v>
      </c>
      <c r="B19" s="12" t="s">
        <v>646</v>
      </c>
      <c r="C19" s="2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">
      <c r="A20" s="1" t="s">
        <v>88</v>
      </c>
      <c r="B20" s="12" t="s">
        <v>647</v>
      </c>
      <c r="C20" s="2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">
      <c r="A21" s="1" t="s">
        <v>94</v>
      </c>
      <c r="B21" s="12" t="s">
        <v>649</v>
      </c>
      <c r="C21" s="2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">
      <c r="A22" s="1" t="s">
        <v>99</v>
      </c>
      <c r="B22" s="12" t="s">
        <v>651</v>
      </c>
      <c r="C22" s="2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">
      <c r="A23" s="1" t="s">
        <v>103</v>
      </c>
      <c r="B23" s="12" t="s">
        <v>653</v>
      </c>
      <c r="C23" s="2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">
      <c r="A24" s="1" t="s">
        <v>107</v>
      </c>
      <c r="B24" s="12" t="s">
        <v>655</v>
      </c>
      <c r="C24" s="2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">
      <c r="A25" s="1" t="s">
        <v>112</v>
      </c>
      <c r="B25" s="12" t="s">
        <v>657</v>
      </c>
      <c r="C25" s="2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">
      <c r="A26" s="1" t="s">
        <v>117</v>
      </c>
      <c r="B26" s="12" t="s">
        <v>659</v>
      </c>
      <c r="C26" s="2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">
      <c r="A27" s="1" t="s">
        <v>121</v>
      </c>
      <c r="B27" s="12" t="s">
        <v>661</v>
      </c>
      <c r="C27" s="2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">
      <c r="A28" s="1" t="s">
        <v>124</v>
      </c>
      <c r="B28" s="12" t="s">
        <v>640</v>
      </c>
      <c r="C28" s="2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">
      <c r="A29" s="1" t="s">
        <v>128</v>
      </c>
      <c r="B29" s="12" t="s">
        <v>664</v>
      </c>
      <c r="C29" s="2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">
      <c r="A30" s="1" t="s">
        <v>132</v>
      </c>
      <c r="B30" s="12" t="s">
        <v>666</v>
      </c>
      <c r="C30" s="2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">
      <c r="A31" s="1" t="s">
        <v>138</v>
      </c>
      <c r="B31" s="12" t="s">
        <v>668</v>
      </c>
      <c r="C31" s="2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">
      <c r="A32" s="1" t="s">
        <v>143</v>
      </c>
      <c r="B32" s="12" t="s">
        <v>670</v>
      </c>
      <c r="C32" s="2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">
      <c r="A33" s="1" t="s">
        <v>145</v>
      </c>
      <c r="B33" s="12" t="s">
        <v>672</v>
      </c>
      <c r="C33" s="2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">
      <c r="A34" s="1" t="s">
        <v>150</v>
      </c>
      <c r="B34" s="12" t="s">
        <v>674</v>
      </c>
      <c r="C34" s="2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">
      <c r="A35" s="1" t="s">
        <v>153</v>
      </c>
      <c r="B35" s="12" t="s">
        <v>676</v>
      </c>
      <c r="C35" s="2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">
      <c r="A36" s="1" t="s">
        <v>157</v>
      </c>
      <c r="B36" s="12" t="s">
        <v>678</v>
      </c>
      <c r="C36" s="2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">
      <c r="A37" s="1" t="s">
        <v>161</v>
      </c>
      <c r="B37" s="12" t="s">
        <v>680</v>
      </c>
      <c r="C37" s="2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">
      <c r="A38" s="1" t="s">
        <v>167</v>
      </c>
      <c r="B38" s="12" t="s">
        <v>682</v>
      </c>
      <c r="C38" s="2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">
      <c r="A39" s="1" t="s">
        <v>171</v>
      </c>
      <c r="B39" s="12" t="s">
        <v>684</v>
      </c>
      <c r="C39" s="2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">
      <c r="A40" s="1" t="s">
        <v>173</v>
      </c>
      <c r="B40" s="12" t="s">
        <v>686</v>
      </c>
      <c r="C40" s="2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">
      <c r="A41" s="1" t="s">
        <v>177</v>
      </c>
      <c r="B41" s="12" t="s">
        <v>688</v>
      </c>
      <c r="C41" s="2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">
      <c r="A42" s="1" t="s">
        <v>181</v>
      </c>
      <c r="B42" s="12" t="s">
        <v>690</v>
      </c>
      <c r="C42" s="2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">
      <c r="A43" s="1" t="s">
        <v>185</v>
      </c>
      <c r="B43" s="12" t="s">
        <v>692</v>
      </c>
      <c r="C43" s="2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">
      <c r="A44" s="1" t="s">
        <v>190</v>
      </c>
      <c r="B44" s="12" t="s">
        <v>694</v>
      </c>
      <c r="C44" s="2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">
      <c r="A45" s="1" t="s">
        <v>193</v>
      </c>
      <c r="B45" s="12" t="s">
        <v>696</v>
      </c>
      <c r="C45" s="2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">
      <c r="A46" s="1" t="s">
        <v>197</v>
      </c>
      <c r="B46" s="12" t="s">
        <v>698</v>
      </c>
      <c r="C46" s="2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">
      <c r="A47" s="1" t="s">
        <v>201</v>
      </c>
      <c r="B47" s="12" t="s">
        <v>700</v>
      </c>
      <c r="C47" s="2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">
      <c r="A48" s="1" t="s">
        <v>206</v>
      </c>
      <c r="B48" s="12" t="s">
        <v>702</v>
      </c>
      <c r="C48" s="2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">
      <c r="A49" s="1" t="s">
        <v>208</v>
      </c>
      <c r="B49" s="12" t="s">
        <v>704</v>
      </c>
      <c r="C49" s="2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">
      <c r="A50" s="1" t="s">
        <v>210</v>
      </c>
      <c r="B50" s="12" t="s">
        <v>706</v>
      </c>
      <c r="C50" s="2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">
      <c r="A51" s="1" t="s">
        <v>213</v>
      </c>
      <c r="B51" s="12" t="s">
        <v>708</v>
      </c>
      <c r="C51" s="2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">
      <c r="A52" s="1" t="s">
        <v>217</v>
      </c>
      <c r="B52" s="12" t="s">
        <v>710</v>
      </c>
      <c r="C52" s="2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">
      <c r="A53" s="1" t="s">
        <v>222</v>
      </c>
      <c r="B53" s="12" t="s">
        <v>712</v>
      </c>
      <c r="C53" s="2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">
      <c r="A54" s="1" t="s">
        <v>224</v>
      </c>
      <c r="B54" s="12" t="s">
        <v>714</v>
      </c>
      <c r="C54" s="2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">
      <c r="A55" s="1" t="s">
        <v>227</v>
      </c>
      <c r="B55" s="12" t="s">
        <v>716</v>
      </c>
      <c r="C55" s="2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">
      <c r="A56" s="1" t="s">
        <v>231</v>
      </c>
      <c r="B56" s="12" t="s">
        <v>718</v>
      </c>
      <c r="C56" s="2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">
      <c r="A57" s="1" t="s">
        <v>235</v>
      </c>
      <c r="B57" s="12" t="s">
        <v>720</v>
      </c>
      <c r="C57" s="2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">
      <c r="A58" s="1" t="s">
        <v>237</v>
      </c>
      <c r="B58" s="12" t="s">
        <v>722</v>
      </c>
      <c r="C58" s="2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">
      <c r="A59" s="1" t="s">
        <v>239</v>
      </c>
      <c r="B59" s="12" t="s">
        <v>657</v>
      </c>
      <c r="C59" s="2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">
      <c r="A60" s="1" t="s">
        <v>242</v>
      </c>
      <c r="B60" s="12" t="s">
        <v>725</v>
      </c>
      <c r="C60" s="2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">
      <c r="A61" s="1" t="s">
        <v>247</v>
      </c>
      <c r="B61" s="12" t="s">
        <v>727</v>
      </c>
      <c r="C61" s="2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">
      <c r="A62" s="1" t="s">
        <v>252</v>
      </c>
      <c r="B62" s="12" t="s">
        <v>729</v>
      </c>
      <c r="C62" s="2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">
      <c r="A63" s="1" t="s">
        <v>255</v>
      </c>
      <c r="B63" s="12" t="s">
        <v>731</v>
      </c>
      <c r="C63" s="2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">
      <c r="A64" s="1" t="s">
        <v>258</v>
      </c>
      <c r="B64" s="12" t="s">
        <v>733</v>
      </c>
      <c r="C64" s="2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">
      <c r="A65" s="1" t="s">
        <v>262</v>
      </c>
      <c r="B65" s="12" t="s">
        <v>735</v>
      </c>
      <c r="C65" s="2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">
      <c r="A66" s="1" t="s">
        <v>268</v>
      </c>
      <c r="B66" s="12" t="s">
        <v>737</v>
      </c>
      <c r="C66" s="2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">
      <c r="A67" s="1" t="s">
        <v>272</v>
      </c>
      <c r="B67" s="12" t="s">
        <v>739</v>
      </c>
      <c r="C67" s="2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">
      <c r="A68" s="1" t="s">
        <v>275</v>
      </c>
      <c r="B68" s="12" t="s">
        <v>741</v>
      </c>
      <c r="C68" s="2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">
      <c r="A69" s="1" t="s">
        <v>279</v>
      </c>
      <c r="B69" s="12" t="s">
        <v>743</v>
      </c>
      <c r="C69" s="2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">
      <c r="A70" s="1" t="s">
        <v>283</v>
      </c>
      <c r="B70" s="12" t="s">
        <v>745</v>
      </c>
      <c r="C70" s="2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">
      <c r="A71" s="1" t="s">
        <v>284</v>
      </c>
      <c r="B71" s="12" t="s">
        <v>747</v>
      </c>
      <c r="C71" s="2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">
      <c r="A72" s="1" t="s">
        <v>289</v>
      </c>
      <c r="B72" s="12" t="s">
        <v>749</v>
      </c>
      <c r="C72" s="2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">
      <c r="A73" s="1" t="s">
        <v>291</v>
      </c>
      <c r="B73" s="12" t="s">
        <v>751</v>
      </c>
      <c r="C73" s="2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">
      <c r="A74" s="1" t="s">
        <v>295</v>
      </c>
      <c r="B74" s="12" t="s">
        <v>753</v>
      </c>
      <c r="C74" s="2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">
      <c r="A75" s="1" t="s">
        <v>299</v>
      </c>
      <c r="B75" s="12" t="s">
        <v>755</v>
      </c>
      <c r="C75" s="2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">
      <c r="A76" s="1" t="s">
        <v>302</v>
      </c>
      <c r="B76" s="12" t="s">
        <v>757</v>
      </c>
      <c r="C76" s="2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">
      <c r="A77" s="1" t="s">
        <v>305</v>
      </c>
      <c r="B77" s="12" t="s">
        <v>759</v>
      </c>
      <c r="C77" s="2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">
      <c r="A78" s="1" t="s">
        <v>309</v>
      </c>
      <c r="B78" s="12" t="s">
        <v>761</v>
      </c>
      <c r="C78" s="2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">
      <c r="A79" s="1" t="s">
        <v>315</v>
      </c>
      <c r="B79" s="12" t="s">
        <v>763</v>
      </c>
      <c r="C79" s="2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">
      <c r="A80" s="1" t="s">
        <v>320</v>
      </c>
      <c r="B80" s="12" t="s">
        <v>765</v>
      </c>
      <c r="C80" s="2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">
      <c r="A81" s="1" t="s">
        <v>323</v>
      </c>
      <c r="B81" s="12" t="s">
        <v>767</v>
      </c>
      <c r="C81" s="2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">
      <c r="A82" s="1" t="s">
        <v>328</v>
      </c>
      <c r="B82" s="12" t="s">
        <v>769</v>
      </c>
      <c r="C82" s="2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">
      <c r="A83" s="1" t="s">
        <v>333</v>
      </c>
      <c r="B83" s="12" t="s">
        <v>771</v>
      </c>
      <c r="C83" s="2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">
      <c r="A84" s="1" t="s">
        <v>337</v>
      </c>
      <c r="B84" s="12" t="s">
        <v>773</v>
      </c>
      <c r="C84" s="2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">
      <c r="A85" s="1" t="s">
        <v>339</v>
      </c>
      <c r="B85" s="12" t="s">
        <v>775</v>
      </c>
      <c r="C85" s="2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">
      <c r="A86" s="1" t="s">
        <v>342</v>
      </c>
      <c r="B86" s="12" t="s">
        <v>777</v>
      </c>
      <c r="C86" s="2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">
      <c r="A87" s="1" t="s">
        <v>345</v>
      </c>
      <c r="B87" s="12" t="s">
        <v>779</v>
      </c>
      <c r="C87" s="2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">
      <c r="A88" s="1" t="s">
        <v>350</v>
      </c>
      <c r="B88" s="12" t="s">
        <v>781</v>
      </c>
      <c r="C88" s="2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">
      <c r="A89" s="1" t="s">
        <v>354</v>
      </c>
      <c r="B89" s="12" t="s">
        <v>783</v>
      </c>
      <c r="C89" s="2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">
      <c r="A90" s="1" t="s">
        <v>360</v>
      </c>
      <c r="B90" s="12" t="s">
        <v>785</v>
      </c>
      <c r="C90" s="2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">
      <c r="A91" s="1" t="s">
        <v>367</v>
      </c>
      <c r="B91" s="12" t="s">
        <v>787</v>
      </c>
      <c r="C91" s="2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">
      <c r="A92" s="1" t="s">
        <v>371</v>
      </c>
      <c r="B92" s="12" t="s">
        <v>789</v>
      </c>
      <c r="C92" s="2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">
      <c r="A93" s="1" t="s">
        <v>374</v>
      </c>
      <c r="B93" s="12" t="s">
        <v>791</v>
      </c>
      <c r="C93" s="2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">
      <c r="A94" s="1" t="s">
        <v>379</v>
      </c>
      <c r="B94" s="12" t="s">
        <v>793</v>
      </c>
      <c r="C94" s="2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">
      <c r="A95" s="1" t="s">
        <v>381</v>
      </c>
      <c r="B95" s="12" t="s">
        <v>795</v>
      </c>
      <c r="C95" s="2" t="s">
        <v>796</v>
      </c>
      <c r="D95" s="5">
        <v>52</v>
      </c>
      <c r="E95" s="2"/>
      <c r="F95" s="2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2" t="s">
        <v>796</v>
      </c>
      <c r="O95" s="2" t="s">
        <v>796</v>
      </c>
      <c r="P95" s="2" t="s">
        <v>796</v>
      </c>
      <c r="Q95" s="2" t="s">
        <v>796</v>
      </c>
    </row>
    <row r="96" spans="1:17" x14ac:dyDescent="0.3">
      <c r="A96" s="1" t="s">
        <v>386</v>
      </c>
      <c r="B96" s="12" t="s">
        <v>797</v>
      </c>
      <c r="C96" s="2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">
      <c r="A97" s="1" t="s">
        <v>391</v>
      </c>
      <c r="B97" s="12" t="s">
        <v>799</v>
      </c>
      <c r="C97" s="2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">
      <c r="A98" s="1" t="s">
        <v>396</v>
      </c>
      <c r="B98" s="12" t="s">
        <v>801</v>
      </c>
      <c r="C98" s="2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">
      <c r="A99" s="1" t="s">
        <v>400</v>
      </c>
      <c r="B99" s="12" t="s">
        <v>803</v>
      </c>
      <c r="C99" s="2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">
      <c r="A100" s="1" t="s">
        <v>405</v>
      </c>
      <c r="B100" s="12" t="s">
        <v>720</v>
      </c>
      <c r="C100" s="2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">
      <c r="A101" s="1" t="s">
        <v>407</v>
      </c>
      <c r="B101" s="12" t="s">
        <v>806</v>
      </c>
      <c r="C101" s="2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">
      <c r="A102" s="1" t="s">
        <v>410</v>
      </c>
      <c r="B102" s="12" t="s">
        <v>808</v>
      </c>
      <c r="C102" s="2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">
      <c r="A103" s="1" t="s">
        <v>415</v>
      </c>
      <c r="B103" s="12" t="s">
        <v>810</v>
      </c>
      <c r="C103" s="2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">
      <c r="A104" s="1" t="s">
        <v>418</v>
      </c>
      <c r="B104" s="12" t="s">
        <v>812</v>
      </c>
      <c r="C104" s="2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">
      <c r="A105" s="1" t="s">
        <v>423</v>
      </c>
      <c r="B105" s="12" t="s">
        <v>814</v>
      </c>
      <c r="C105" s="2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">
      <c r="A106" s="1" t="s">
        <v>429</v>
      </c>
      <c r="B106" s="12" t="s">
        <v>816</v>
      </c>
      <c r="C106" s="2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">
      <c r="A107" s="1" t="s">
        <v>433</v>
      </c>
      <c r="B107" s="12" t="s">
        <v>818</v>
      </c>
      <c r="C107" s="2"/>
      <c r="D107" s="5">
        <v>64</v>
      </c>
      <c r="E107" s="2"/>
      <c r="F107" s="2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2" t="s">
        <v>796</v>
      </c>
      <c r="O107" s="2" t="s">
        <v>796</v>
      </c>
      <c r="P107" s="2" t="s">
        <v>796</v>
      </c>
      <c r="Q107" s="2" t="s">
        <v>796</v>
      </c>
    </row>
    <row r="108" spans="1:17" x14ac:dyDescent="0.3">
      <c r="A108" s="1" t="s">
        <v>437</v>
      </c>
      <c r="B108" s="12" t="s">
        <v>612</v>
      </c>
      <c r="C108" s="2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">
      <c r="A109" s="1" t="s">
        <v>440</v>
      </c>
      <c r="B109" s="12" t="s">
        <v>820</v>
      </c>
      <c r="C109" s="2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">
      <c r="A110" s="1" t="s">
        <v>444</v>
      </c>
      <c r="B110" s="12" t="s">
        <v>822</v>
      </c>
      <c r="C110" s="2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">
      <c r="A111" s="1" t="s">
        <v>446</v>
      </c>
      <c r="B111" s="12" t="s">
        <v>824</v>
      </c>
      <c r="C111" s="2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">
      <c r="A112" s="1" t="s">
        <v>450</v>
      </c>
      <c r="B112" s="12" t="s">
        <v>826</v>
      </c>
      <c r="C112" s="2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">
      <c r="A113" s="1" t="s">
        <v>454</v>
      </c>
      <c r="B113" s="12" t="s">
        <v>828</v>
      </c>
      <c r="C113" s="2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">
      <c r="A114" s="1" t="s">
        <v>457</v>
      </c>
      <c r="B114" s="12" t="s">
        <v>830</v>
      </c>
      <c r="C114" s="2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">
      <c r="A115" s="1" t="s">
        <v>461</v>
      </c>
      <c r="B115" s="12" t="s">
        <v>832</v>
      </c>
      <c r="C115" s="2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">
      <c r="A116" s="1" t="s">
        <v>464</v>
      </c>
      <c r="B116" s="12" t="s">
        <v>733</v>
      </c>
      <c r="C116" s="2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">
      <c r="A117" s="1" t="s">
        <v>466</v>
      </c>
      <c r="B117" s="12" t="s">
        <v>835</v>
      </c>
      <c r="C117" s="2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">
      <c r="A118" s="1" t="s">
        <v>468</v>
      </c>
      <c r="B118" s="12" t="s">
        <v>837</v>
      </c>
      <c r="C118" s="2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">
      <c r="A119" s="1" t="s">
        <v>472</v>
      </c>
      <c r="B119" s="12" t="s">
        <v>839</v>
      </c>
      <c r="C119" s="2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">
      <c r="A120" s="1" t="s">
        <v>476</v>
      </c>
      <c r="B120" s="12" t="s">
        <v>841</v>
      </c>
      <c r="C120" s="2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">
      <c r="A121" s="1" t="s">
        <v>481</v>
      </c>
      <c r="B121" s="12" t="s">
        <v>843</v>
      </c>
      <c r="C121" s="2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">
      <c r="A122" s="1" t="s">
        <v>484</v>
      </c>
      <c r="B122" s="12" t="s">
        <v>845</v>
      </c>
      <c r="C122" s="2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">
      <c r="A123" s="1" t="s">
        <v>488</v>
      </c>
      <c r="B123" s="12" t="s">
        <v>847</v>
      </c>
      <c r="C123" s="2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">
      <c r="A124" s="1" t="s">
        <v>494</v>
      </c>
      <c r="B124" s="12" t="s">
        <v>849</v>
      </c>
      <c r="C124" s="2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">
      <c r="A125" s="1" t="s">
        <v>495</v>
      </c>
      <c r="B125" s="12" t="s">
        <v>851</v>
      </c>
      <c r="C125" s="2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">
      <c r="A126" s="1" t="s">
        <v>498</v>
      </c>
      <c r="B126" s="12" t="s">
        <v>853</v>
      </c>
      <c r="C126" s="2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">
      <c r="A127" s="1" t="s">
        <v>502</v>
      </c>
      <c r="B127" s="12" t="s">
        <v>855</v>
      </c>
      <c r="C127" s="2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">
      <c r="A128" s="1" t="s">
        <v>507</v>
      </c>
      <c r="B128" s="12" t="s">
        <v>857</v>
      </c>
      <c r="C128" s="2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">
      <c r="A129" s="1" t="s">
        <v>511</v>
      </c>
      <c r="B129" s="12" t="s">
        <v>859</v>
      </c>
      <c r="C129" s="2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">
      <c r="A130" s="1" t="s">
        <v>515</v>
      </c>
      <c r="B130" s="12" t="s">
        <v>614</v>
      </c>
      <c r="C130" s="2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">
      <c r="A131" s="1" t="s">
        <v>520</v>
      </c>
      <c r="B131" s="12" t="s">
        <v>862</v>
      </c>
      <c r="C131" s="2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">
      <c r="A132" s="1" t="s">
        <v>523</v>
      </c>
      <c r="B132" s="12" t="s">
        <v>864</v>
      </c>
      <c r="C132" s="2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">
      <c r="A133" s="1" t="s">
        <v>526</v>
      </c>
      <c r="B133" s="12" t="s">
        <v>682</v>
      </c>
      <c r="C133" s="2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">
      <c r="A134" s="1" t="s">
        <v>530</v>
      </c>
      <c r="B134" s="12" t="s">
        <v>867</v>
      </c>
      <c r="C134" s="2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">
      <c r="A135" s="1" t="s">
        <v>534</v>
      </c>
      <c r="B135" s="12" t="s">
        <v>869</v>
      </c>
      <c r="C135" s="2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">
      <c r="A136" s="1" t="s">
        <v>540</v>
      </c>
      <c r="B136" s="12" t="s">
        <v>871</v>
      </c>
      <c r="C136" s="2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">
      <c r="A137" s="1" t="s">
        <v>544</v>
      </c>
      <c r="B137" s="12" t="s">
        <v>873</v>
      </c>
      <c r="C137" s="2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">
      <c r="A138" s="1" t="s">
        <v>549</v>
      </c>
      <c r="B138" s="12" t="s">
        <v>875</v>
      </c>
      <c r="C138" s="2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">
      <c r="A139" s="1" t="s">
        <v>553</v>
      </c>
      <c r="B139" s="12" t="s">
        <v>877</v>
      </c>
      <c r="C139" s="2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">
      <c r="A140" s="1" t="s">
        <v>557</v>
      </c>
      <c r="B140" s="12" t="s">
        <v>879</v>
      </c>
      <c r="C140" s="2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">
      <c r="A141" s="1" t="s">
        <v>560</v>
      </c>
      <c r="B141" s="12" t="s">
        <v>881</v>
      </c>
      <c r="C141" s="2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">
      <c r="A142" s="1" t="s">
        <v>562</v>
      </c>
      <c r="B142" s="12" t="s">
        <v>883</v>
      </c>
      <c r="C142" s="2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">
      <c r="A143" s="1" t="s">
        <v>568</v>
      </c>
      <c r="B143" s="12" t="s">
        <v>885</v>
      </c>
      <c r="C143" s="2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">
      <c r="A144" s="1" t="s">
        <v>570</v>
      </c>
      <c r="B144" s="12" t="s">
        <v>887</v>
      </c>
      <c r="C144" s="2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">
      <c r="A145" s="1" t="s">
        <v>575</v>
      </c>
      <c r="B145" s="12" t="s">
        <v>889</v>
      </c>
      <c r="C145" s="2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">
      <c r="A146" s="1" t="s">
        <v>577</v>
      </c>
      <c r="B146" s="12" t="s">
        <v>891</v>
      </c>
      <c r="C146" s="2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">
      <c r="A147" s="1" t="s">
        <v>580</v>
      </c>
      <c r="B147" s="12" t="s">
        <v>893</v>
      </c>
      <c r="C147" s="2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">
      <c r="A148" s="1" t="s">
        <v>586</v>
      </c>
      <c r="B148" s="12" t="s">
        <v>895</v>
      </c>
      <c r="C148" s="2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">
      <c r="A149" s="1" t="s">
        <v>590</v>
      </c>
      <c r="B149" s="12" t="s">
        <v>897</v>
      </c>
      <c r="C149" s="2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">
      <c r="A150" s="1" t="s">
        <v>592</v>
      </c>
      <c r="B150" s="12" t="s">
        <v>899</v>
      </c>
      <c r="C150" s="2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D913A-A64A-45C0-B280-CFE4CE8BA620}">
  <sheetPr codeName="Sheet3"/>
  <dimension ref="A1:J150"/>
  <sheetViews>
    <sheetView workbookViewId="0">
      <selection activeCell="A11" sqref="A11"/>
    </sheetView>
  </sheetViews>
  <sheetFormatPr defaultRowHeight="14.4" x14ac:dyDescent="0.3"/>
  <cols>
    <col min="1" max="1" width="31.44140625" bestFit="1" customWidth="1"/>
    <col min="2" max="2" width="8.5546875" bestFit="1" customWidth="1"/>
    <col min="4" max="4" width="8.44140625" bestFit="1" customWidth="1"/>
    <col min="6" max="6" width="7.44140625" bestFit="1" customWidth="1"/>
    <col min="7" max="7" width="8.44140625" bestFit="1" customWidth="1"/>
    <col min="8" max="8" width="8.77734375" bestFit="1" customWidth="1"/>
    <col min="9" max="9" width="8.33203125" bestFit="1" customWidth="1"/>
    <col min="10" max="10" width="8.6640625" bestFit="1" customWidth="1"/>
  </cols>
  <sheetData>
    <row r="1" spans="1:10" ht="52.8" x14ac:dyDescent="0.3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">
      <c r="A2" s="1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2" t="s">
        <v>909</v>
      </c>
      <c r="I2" s="2" t="s">
        <v>910</v>
      </c>
      <c r="J2" s="2" t="s">
        <v>911</v>
      </c>
    </row>
    <row r="3" spans="1:10" x14ac:dyDescent="0.3">
      <c r="A3" s="1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2" t="s">
        <v>909</v>
      </c>
      <c r="I3" s="2" t="s">
        <v>910</v>
      </c>
      <c r="J3" s="2" t="s">
        <v>911</v>
      </c>
    </row>
    <row r="4" spans="1:10" x14ac:dyDescent="0.3">
      <c r="A4" s="1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2" t="s">
        <v>912</v>
      </c>
      <c r="I4" s="2" t="s">
        <v>12</v>
      </c>
      <c r="J4" s="2" t="s">
        <v>913</v>
      </c>
    </row>
    <row r="5" spans="1:10" x14ac:dyDescent="0.3">
      <c r="A5" s="1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2" t="s">
        <v>912</v>
      </c>
      <c r="I5" s="2" t="s">
        <v>12</v>
      </c>
      <c r="J5" s="2" t="s">
        <v>913</v>
      </c>
    </row>
    <row r="6" spans="1:10" x14ac:dyDescent="0.3">
      <c r="A6" s="1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2" t="s">
        <v>914</v>
      </c>
      <c r="I6" s="2" t="s">
        <v>915</v>
      </c>
      <c r="J6" s="2" t="s">
        <v>916</v>
      </c>
    </row>
    <row r="7" spans="1:10" x14ac:dyDescent="0.3">
      <c r="A7" s="1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2" t="s">
        <v>914</v>
      </c>
      <c r="I7" s="2" t="s">
        <v>915</v>
      </c>
      <c r="J7" s="2" t="s">
        <v>916</v>
      </c>
    </row>
    <row r="8" spans="1:10" x14ac:dyDescent="0.3">
      <c r="A8" s="1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2" t="s">
        <v>917</v>
      </c>
      <c r="I8" s="2" t="s">
        <v>12</v>
      </c>
      <c r="J8" s="2" t="s">
        <v>918</v>
      </c>
    </row>
    <row r="9" spans="1:10" x14ac:dyDescent="0.3">
      <c r="A9" s="1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2" t="s">
        <v>917</v>
      </c>
      <c r="I9" s="2" t="s">
        <v>12</v>
      </c>
      <c r="J9" s="2" t="s">
        <v>918</v>
      </c>
    </row>
    <row r="10" spans="1:10" x14ac:dyDescent="0.3">
      <c r="A10" s="1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2" t="s">
        <v>919</v>
      </c>
      <c r="I10" s="2" t="s">
        <v>920</v>
      </c>
      <c r="J10" s="2" t="s">
        <v>921</v>
      </c>
    </row>
    <row r="11" spans="1:10" x14ac:dyDescent="0.3">
      <c r="A11" s="1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2" t="s">
        <v>919</v>
      </c>
      <c r="I11" s="2" t="s">
        <v>920</v>
      </c>
      <c r="J11" s="2" t="s">
        <v>921</v>
      </c>
    </row>
    <row r="12" spans="1:10" x14ac:dyDescent="0.3">
      <c r="A12" s="1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2" t="s">
        <v>922</v>
      </c>
      <c r="I12" s="2" t="s">
        <v>923</v>
      </c>
      <c r="J12" s="2" t="s">
        <v>924</v>
      </c>
    </row>
    <row r="13" spans="1:10" x14ac:dyDescent="0.3">
      <c r="A13" s="1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2" t="s">
        <v>922</v>
      </c>
      <c r="I13" s="2" t="s">
        <v>923</v>
      </c>
      <c r="J13" s="2" t="s">
        <v>924</v>
      </c>
    </row>
    <row r="14" spans="1:10" x14ac:dyDescent="0.3">
      <c r="A14" s="1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2" t="s">
        <v>925</v>
      </c>
      <c r="I14" s="2" t="s">
        <v>12</v>
      </c>
      <c r="J14" s="2" t="s">
        <v>926</v>
      </c>
    </row>
    <row r="15" spans="1:10" x14ac:dyDescent="0.3">
      <c r="A15" s="1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2" t="s">
        <v>925</v>
      </c>
      <c r="I15" s="2" t="s">
        <v>12</v>
      </c>
      <c r="J15" s="2" t="s">
        <v>926</v>
      </c>
    </row>
    <row r="16" spans="1:10" x14ac:dyDescent="0.3">
      <c r="A16" s="1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2" t="s">
        <v>922</v>
      </c>
      <c r="I16" s="2" t="s">
        <v>927</v>
      </c>
      <c r="J16" s="2" t="s">
        <v>928</v>
      </c>
    </row>
    <row r="17" spans="1:10" x14ac:dyDescent="0.3">
      <c r="A17" s="1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2" t="s">
        <v>922</v>
      </c>
      <c r="I17" s="2" t="s">
        <v>927</v>
      </c>
      <c r="J17" s="2" t="s">
        <v>928</v>
      </c>
    </row>
    <row r="18" spans="1:10" x14ac:dyDescent="0.3">
      <c r="A18" s="1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2" t="s">
        <v>929</v>
      </c>
      <c r="I18" s="2" t="s">
        <v>926</v>
      </c>
      <c r="J18" s="2" t="s">
        <v>913</v>
      </c>
    </row>
    <row r="19" spans="1:10" x14ac:dyDescent="0.3">
      <c r="A19" s="1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2" t="s">
        <v>929</v>
      </c>
      <c r="I19" s="2" t="s">
        <v>926</v>
      </c>
      <c r="J19" s="2" t="s">
        <v>913</v>
      </c>
    </row>
    <row r="20" spans="1:10" x14ac:dyDescent="0.3">
      <c r="A20" s="1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2" t="s">
        <v>930</v>
      </c>
      <c r="I20" s="2" t="s">
        <v>910</v>
      </c>
      <c r="J20" s="2" t="s">
        <v>926</v>
      </c>
    </row>
    <row r="21" spans="1:10" x14ac:dyDescent="0.3">
      <c r="A21" s="1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2" t="s">
        <v>930</v>
      </c>
      <c r="I21" s="2" t="s">
        <v>910</v>
      </c>
      <c r="J21" s="2" t="s">
        <v>926</v>
      </c>
    </row>
    <row r="22" spans="1:10" x14ac:dyDescent="0.3">
      <c r="A22" s="1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2" t="s">
        <v>931</v>
      </c>
      <c r="I22" s="2" t="s">
        <v>932</v>
      </c>
      <c r="J22" s="2" t="s">
        <v>911</v>
      </c>
    </row>
    <row r="23" spans="1:10" x14ac:dyDescent="0.3">
      <c r="A23" s="1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2" t="s">
        <v>931</v>
      </c>
      <c r="I23" s="2" t="s">
        <v>932</v>
      </c>
      <c r="J23" s="2" t="s">
        <v>911</v>
      </c>
    </row>
    <row r="24" spans="1:10" x14ac:dyDescent="0.3">
      <c r="A24" s="1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2" t="s">
        <v>933</v>
      </c>
      <c r="I24" s="2" t="s">
        <v>12</v>
      </c>
      <c r="J24" s="2" t="s">
        <v>934</v>
      </c>
    </row>
    <row r="25" spans="1:10" x14ac:dyDescent="0.3">
      <c r="A25" s="1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2" t="s">
        <v>933</v>
      </c>
      <c r="I25" s="2" t="s">
        <v>12</v>
      </c>
      <c r="J25" s="2" t="s">
        <v>934</v>
      </c>
    </row>
    <row r="26" spans="1:10" x14ac:dyDescent="0.3">
      <c r="A26" s="1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2" t="s">
        <v>933</v>
      </c>
      <c r="I26" s="2" t="s">
        <v>910</v>
      </c>
      <c r="J26" s="2" t="s">
        <v>935</v>
      </c>
    </row>
    <row r="27" spans="1:10" x14ac:dyDescent="0.3">
      <c r="A27" s="1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2" t="s">
        <v>933</v>
      </c>
      <c r="I27" s="2" t="s">
        <v>910</v>
      </c>
      <c r="J27" s="2" t="s">
        <v>935</v>
      </c>
    </row>
    <row r="28" spans="1:10" x14ac:dyDescent="0.3">
      <c r="A28" s="1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2" t="s">
        <v>925</v>
      </c>
      <c r="I28" s="2" t="s">
        <v>936</v>
      </c>
      <c r="J28" s="2" t="s">
        <v>937</v>
      </c>
    </row>
    <row r="29" spans="1:10" x14ac:dyDescent="0.3">
      <c r="A29" s="1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2" t="s">
        <v>925</v>
      </c>
      <c r="I29" s="2" t="s">
        <v>936</v>
      </c>
      <c r="J29" s="2" t="s">
        <v>937</v>
      </c>
    </row>
    <row r="30" spans="1:10" x14ac:dyDescent="0.3">
      <c r="A30" s="1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2" t="s">
        <v>925</v>
      </c>
      <c r="I30" s="2" t="s">
        <v>938</v>
      </c>
      <c r="J30" s="2" t="s">
        <v>918</v>
      </c>
    </row>
    <row r="31" spans="1:10" x14ac:dyDescent="0.3">
      <c r="A31" s="1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2" t="s">
        <v>925</v>
      </c>
      <c r="I31" s="2" t="s">
        <v>938</v>
      </c>
      <c r="J31" s="2" t="s">
        <v>918</v>
      </c>
    </row>
    <row r="32" spans="1:10" x14ac:dyDescent="0.3">
      <c r="A32" s="1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2" t="s">
        <v>909</v>
      </c>
      <c r="I32" s="2" t="s">
        <v>376</v>
      </c>
      <c r="J32" s="2" t="s">
        <v>911</v>
      </c>
    </row>
    <row r="33" spans="1:10" x14ac:dyDescent="0.3">
      <c r="A33" s="1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2" t="s">
        <v>909</v>
      </c>
      <c r="I33" s="2" t="s">
        <v>376</v>
      </c>
      <c r="J33" s="2" t="s">
        <v>911</v>
      </c>
    </row>
    <row r="34" spans="1:10" x14ac:dyDescent="0.3">
      <c r="A34" s="1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2" t="s">
        <v>939</v>
      </c>
      <c r="I34" s="2" t="s">
        <v>12</v>
      </c>
      <c r="J34" s="2" t="s">
        <v>940</v>
      </c>
    </row>
    <row r="35" spans="1:10" x14ac:dyDescent="0.3">
      <c r="A35" s="1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2" t="s">
        <v>939</v>
      </c>
      <c r="I35" s="2" t="s">
        <v>12</v>
      </c>
      <c r="J35" s="2" t="s">
        <v>940</v>
      </c>
    </row>
    <row r="36" spans="1:10" x14ac:dyDescent="0.3">
      <c r="A36" s="1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2" t="s">
        <v>941</v>
      </c>
      <c r="I36" s="2" t="s">
        <v>12</v>
      </c>
      <c r="J36" s="2" t="s">
        <v>920</v>
      </c>
    </row>
    <row r="37" spans="1:10" x14ac:dyDescent="0.3">
      <c r="A37" s="1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2" t="s">
        <v>941</v>
      </c>
      <c r="I37" s="2" t="s">
        <v>12</v>
      </c>
      <c r="J37" s="2" t="s">
        <v>920</v>
      </c>
    </row>
    <row r="38" spans="1:10" x14ac:dyDescent="0.3">
      <c r="A38" s="1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2" t="s">
        <v>942</v>
      </c>
      <c r="I38" s="2" t="s">
        <v>943</v>
      </c>
      <c r="J38" s="2" t="s">
        <v>935</v>
      </c>
    </row>
    <row r="39" spans="1:10" x14ac:dyDescent="0.3">
      <c r="A39" s="1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2" t="s">
        <v>942</v>
      </c>
      <c r="I39" s="2" t="s">
        <v>943</v>
      </c>
      <c r="J39" s="2" t="s">
        <v>935</v>
      </c>
    </row>
    <row r="40" spans="1:10" x14ac:dyDescent="0.3">
      <c r="A40" s="1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2" t="s">
        <v>944</v>
      </c>
      <c r="I40" s="2" t="s">
        <v>913</v>
      </c>
      <c r="J40" s="2" t="s">
        <v>945</v>
      </c>
    </row>
    <row r="41" spans="1:10" x14ac:dyDescent="0.3">
      <c r="A41" s="1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2" t="s">
        <v>944</v>
      </c>
      <c r="I41" s="2" t="s">
        <v>913</v>
      </c>
      <c r="J41" s="2" t="s">
        <v>945</v>
      </c>
    </row>
    <row r="42" spans="1:10" x14ac:dyDescent="0.3">
      <c r="A42" s="1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2" t="s">
        <v>946</v>
      </c>
      <c r="I42" s="2" t="s">
        <v>12</v>
      </c>
      <c r="J42" s="2" t="s">
        <v>926</v>
      </c>
    </row>
    <row r="43" spans="1:10" x14ac:dyDescent="0.3">
      <c r="A43" s="1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2" t="s">
        <v>946</v>
      </c>
      <c r="I43" s="2" t="s">
        <v>12</v>
      </c>
      <c r="J43" s="2" t="s">
        <v>926</v>
      </c>
    </row>
    <row r="44" spans="1:10" x14ac:dyDescent="0.3">
      <c r="A44" s="1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2" t="s">
        <v>947</v>
      </c>
      <c r="I44" s="2" t="s">
        <v>920</v>
      </c>
      <c r="J44" s="2" t="s">
        <v>945</v>
      </c>
    </row>
    <row r="45" spans="1:10" x14ac:dyDescent="0.3">
      <c r="A45" s="1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2" t="s">
        <v>947</v>
      </c>
      <c r="I45" s="2" t="s">
        <v>920</v>
      </c>
      <c r="J45" s="2" t="s">
        <v>945</v>
      </c>
    </row>
    <row r="46" spans="1:10" x14ac:dyDescent="0.3">
      <c r="A46" s="1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2" t="s">
        <v>948</v>
      </c>
      <c r="I46" s="2" t="s">
        <v>949</v>
      </c>
      <c r="J46" s="2" t="s">
        <v>950</v>
      </c>
    </row>
    <row r="47" spans="1:10" x14ac:dyDescent="0.3">
      <c r="A47" s="1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2" t="s">
        <v>948</v>
      </c>
      <c r="I47" s="2" t="s">
        <v>949</v>
      </c>
      <c r="J47" s="2" t="s">
        <v>950</v>
      </c>
    </row>
    <row r="48" spans="1:10" x14ac:dyDescent="0.3">
      <c r="A48" s="1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2" t="s">
        <v>951</v>
      </c>
      <c r="I48" s="2" t="s">
        <v>940</v>
      </c>
      <c r="J48" s="2" t="s">
        <v>921</v>
      </c>
    </row>
    <row r="49" spans="1:10" x14ac:dyDescent="0.3">
      <c r="A49" s="1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2" t="s">
        <v>951</v>
      </c>
      <c r="I49" s="2" t="s">
        <v>940</v>
      </c>
      <c r="J49" s="2" t="s">
        <v>921</v>
      </c>
    </row>
    <row r="50" spans="1:10" x14ac:dyDescent="0.3">
      <c r="A50" s="1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2" t="s">
        <v>952</v>
      </c>
      <c r="I50" s="2" t="s">
        <v>953</v>
      </c>
      <c r="J50" s="2" t="s">
        <v>954</v>
      </c>
    </row>
    <row r="51" spans="1:10" x14ac:dyDescent="0.3">
      <c r="A51" s="1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2" t="s">
        <v>952</v>
      </c>
      <c r="I51" s="2" t="s">
        <v>953</v>
      </c>
      <c r="J51" s="2" t="s">
        <v>954</v>
      </c>
    </row>
    <row r="52" spans="1:10" x14ac:dyDescent="0.3">
      <c r="A52" s="1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2" t="s">
        <v>955</v>
      </c>
      <c r="I52" s="2"/>
      <c r="J52" s="2" t="s">
        <v>956</v>
      </c>
    </row>
    <row r="53" spans="1:10" x14ac:dyDescent="0.3">
      <c r="A53" s="1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2" t="s">
        <v>955</v>
      </c>
      <c r="I53" s="2"/>
      <c r="J53" s="2" t="s">
        <v>956</v>
      </c>
    </row>
    <row r="54" spans="1:10" x14ac:dyDescent="0.3">
      <c r="A54" s="1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2" t="s">
        <v>922</v>
      </c>
      <c r="I54" s="2" t="s">
        <v>934</v>
      </c>
      <c r="J54" s="2" t="s">
        <v>926</v>
      </c>
    </row>
    <row r="55" spans="1:10" x14ac:dyDescent="0.3">
      <c r="A55" s="1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2" t="s">
        <v>922</v>
      </c>
      <c r="I55" s="2" t="s">
        <v>934</v>
      </c>
      <c r="J55" s="2" t="s">
        <v>926</v>
      </c>
    </row>
    <row r="56" spans="1:10" x14ac:dyDescent="0.3">
      <c r="A56" s="1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2" t="s">
        <v>948</v>
      </c>
      <c r="I56" s="2" t="s">
        <v>957</v>
      </c>
      <c r="J56" s="2" t="s">
        <v>958</v>
      </c>
    </row>
    <row r="57" spans="1:10" x14ac:dyDescent="0.3">
      <c r="A57" s="1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2" t="s">
        <v>948</v>
      </c>
      <c r="I57" s="2" t="s">
        <v>957</v>
      </c>
      <c r="J57" s="2" t="s">
        <v>958</v>
      </c>
    </row>
    <row r="58" spans="1:10" x14ac:dyDescent="0.3">
      <c r="A58" s="1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2" t="s">
        <v>959</v>
      </c>
      <c r="I58" s="2" t="s">
        <v>960</v>
      </c>
      <c r="J58" s="2" t="s">
        <v>924</v>
      </c>
    </row>
    <row r="59" spans="1:10" x14ac:dyDescent="0.3">
      <c r="A59" s="1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2" t="s">
        <v>959</v>
      </c>
      <c r="I59" s="2" t="s">
        <v>960</v>
      </c>
      <c r="J59" s="2" t="s">
        <v>924</v>
      </c>
    </row>
    <row r="60" spans="1:10" x14ac:dyDescent="0.3">
      <c r="A60" s="1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2" t="s">
        <v>961</v>
      </c>
      <c r="I60" s="2" t="s">
        <v>962</v>
      </c>
      <c r="J60" s="2" t="s">
        <v>954</v>
      </c>
    </row>
    <row r="61" spans="1:10" x14ac:dyDescent="0.3">
      <c r="A61" s="1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2" t="s">
        <v>961</v>
      </c>
      <c r="I61" s="2" t="s">
        <v>962</v>
      </c>
      <c r="J61" s="2" t="s">
        <v>954</v>
      </c>
    </row>
    <row r="62" spans="1:10" x14ac:dyDescent="0.3">
      <c r="A62" s="1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2" t="s">
        <v>963</v>
      </c>
      <c r="I62" s="2" t="s">
        <v>957</v>
      </c>
      <c r="J62" s="2" t="s">
        <v>934</v>
      </c>
    </row>
    <row r="63" spans="1:10" x14ac:dyDescent="0.3">
      <c r="A63" s="1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2" t="s">
        <v>963</v>
      </c>
      <c r="I63" s="2" t="s">
        <v>957</v>
      </c>
      <c r="J63" s="2" t="s">
        <v>934</v>
      </c>
    </row>
    <row r="64" spans="1:10" x14ac:dyDescent="0.3">
      <c r="A64" s="1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2" t="s">
        <v>964</v>
      </c>
      <c r="I64" s="2" t="s">
        <v>957</v>
      </c>
      <c r="J64" s="2" t="s">
        <v>965</v>
      </c>
    </row>
    <row r="65" spans="1:10" x14ac:dyDescent="0.3">
      <c r="A65" s="1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2" t="s">
        <v>964</v>
      </c>
      <c r="I65" s="2" t="s">
        <v>957</v>
      </c>
      <c r="J65" s="2" t="s">
        <v>965</v>
      </c>
    </row>
    <row r="66" spans="1:10" x14ac:dyDescent="0.3">
      <c r="A66" s="1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2" t="s">
        <v>966</v>
      </c>
      <c r="I66" s="2" t="s">
        <v>920</v>
      </c>
      <c r="J66" s="2" t="s">
        <v>921</v>
      </c>
    </row>
    <row r="67" spans="1:10" x14ac:dyDescent="0.3">
      <c r="A67" s="1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2" t="s">
        <v>966</v>
      </c>
      <c r="I67" s="2" t="s">
        <v>920</v>
      </c>
      <c r="J67" s="2" t="s">
        <v>921</v>
      </c>
    </row>
    <row r="68" spans="1:10" x14ac:dyDescent="0.3">
      <c r="A68" s="1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2" t="s">
        <v>967</v>
      </c>
      <c r="I68" s="2" t="s">
        <v>12</v>
      </c>
      <c r="J68" s="2" t="s">
        <v>911</v>
      </c>
    </row>
    <row r="69" spans="1:10" x14ac:dyDescent="0.3">
      <c r="A69" s="1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2" t="s">
        <v>967</v>
      </c>
      <c r="I69" s="2" t="s">
        <v>12</v>
      </c>
      <c r="J69" s="2" t="s">
        <v>911</v>
      </c>
    </row>
    <row r="70" spans="1:10" x14ac:dyDescent="0.3">
      <c r="A70" s="1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2" t="s">
        <v>929</v>
      </c>
      <c r="I70" s="2" t="s">
        <v>910</v>
      </c>
      <c r="J70" s="2" t="s">
        <v>913</v>
      </c>
    </row>
    <row r="71" spans="1:10" x14ac:dyDescent="0.3">
      <c r="A71" s="1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2" t="s">
        <v>929</v>
      </c>
      <c r="I71" s="2" t="s">
        <v>910</v>
      </c>
      <c r="J71" s="2" t="s">
        <v>913</v>
      </c>
    </row>
    <row r="72" spans="1:10" x14ac:dyDescent="0.3">
      <c r="A72" s="1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2" t="s">
        <v>912</v>
      </c>
      <c r="I72" s="2" t="s">
        <v>920</v>
      </c>
      <c r="J72" s="2" t="s">
        <v>913</v>
      </c>
    </row>
    <row r="73" spans="1:10" x14ac:dyDescent="0.3">
      <c r="A73" s="1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2" t="s">
        <v>912</v>
      </c>
      <c r="I73" s="2" t="s">
        <v>920</v>
      </c>
      <c r="J73" s="2" t="s">
        <v>913</v>
      </c>
    </row>
    <row r="74" spans="1:10" x14ac:dyDescent="0.3">
      <c r="A74" s="1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2" t="s">
        <v>968</v>
      </c>
      <c r="I74" s="2" t="s">
        <v>12</v>
      </c>
      <c r="J74" s="2" t="s">
        <v>911</v>
      </c>
    </row>
    <row r="75" spans="1:10" x14ac:dyDescent="0.3">
      <c r="A75" s="1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2" t="s">
        <v>968</v>
      </c>
      <c r="I75" s="2" t="s">
        <v>12</v>
      </c>
      <c r="J75" s="2" t="s">
        <v>911</v>
      </c>
    </row>
    <row r="76" spans="1:10" x14ac:dyDescent="0.3">
      <c r="A76" s="1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2" t="s">
        <v>969</v>
      </c>
      <c r="I76" s="2" t="s">
        <v>960</v>
      </c>
      <c r="J76" s="2" t="s">
        <v>937</v>
      </c>
    </row>
    <row r="77" spans="1:10" x14ac:dyDescent="0.3">
      <c r="A77" s="1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2" t="s">
        <v>969</v>
      </c>
      <c r="I77" s="2" t="s">
        <v>960</v>
      </c>
      <c r="J77" s="2" t="s">
        <v>937</v>
      </c>
    </row>
    <row r="78" spans="1:10" x14ac:dyDescent="0.3">
      <c r="A78" s="1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2" t="s">
        <v>952</v>
      </c>
      <c r="I78" s="2" t="s">
        <v>12</v>
      </c>
      <c r="J78" s="2" t="s">
        <v>921</v>
      </c>
    </row>
    <row r="79" spans="1:10" x14ac:dyDescent="0.3">
      <c r="A79" s="1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2" t="s">
        <v>952</v>
      </c>
      <c r="I79" s="2" t="s">
        <v>12</v>
      </c>
      <c r="J79" s="2" t="s">
        <v>921</v>
      </c>
    </row>
    <row r="80" spans="1:10" x14ac:dyDescent="0.3">
      <c r="A80" s="1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2" t="s">
        <v>970</v>
      </c>
      <c r="I80" s="2" t="s">
        <v>920</v>
      </c>
      <c r="J80" s="2" t="s">
        <v>971</v>
      </c>
    </row>
    <row r="81" spans="1:10" x14ac:dyDescent="0.3">
      <c r="A81" s="1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2" t="s">
        <v>970</v>
      </c>
      <c r="I81" s="2" t="s">
        <v>920</v>
      </c>
      <c r="J81" s="2" t="s">
        <v>971</v>
      </c>
    </row>
    <row r="82" spans="1:10" x14ac:dyDescent="0.3">
      <c r="A82" s="1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2" t="s">
        <v>972</v>
      </c>
      <c r="I82" s="2" t="s">
        <v>12</v>
      </c>
      <c r="J82" s="2" t="s">
        <v>913</v>
      </c>
    </row>
    <row r="83" spans="1:10" x14ac:dyDescent="0.3">
      <c r="A83" s="1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2" t="s">
        <v>972</v>
      </c>
      <c r="I83" s="2" t="s">
        <v>12</v>
      </c>
      <c r="J83" s="2" t="s">
        <v>913</v>
      </c>
    </row>
    <row r="84" spans="1:10" x14ac:dyDescent="0.3">
      <c r="A84" s="1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2" t="s">
        <v>21</v>
      </c>
      <c r="I84" s="2" t="s">
        <v>973</v>
      </c>
      <c r="J84" s="2" t="s">
        <v>945</v>
      </c>
    </row>
    <row r="85" spans="1:10" x14ac:dyDescent="0.3">
      <c r="A85" s="1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2" t="s">
        <v>21</v>
      </c>
      <c r="I85" s="2" t="s">
        <v>973</v>
      </c>
      <c r="J85" s="2" t="s">
        <v>945</v>
      </c>
    </row>
    <row r="86" spans="1:10" x14ac:dyDescent="0.3">
      <c r="A86" s="1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2" t="s">
        <v>462</v>
      </c>
      <c r="I86" s="2" t="s">
        <v>910</v>
      </c>
      <c r="J86" s="2" t="s">
        <v>926</v>
      </c>
    </row>
    <row r="87" spans="1:10" x14ac:dyDescent="0.3">
      <c r="A87" s="1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2" t="s">
        <v>462</v>
      </c>
      <c r="I87" s="2" t="s">
        <v>910</v>
      </c>
      <c r="J87" s="2" t="s">
        <v>926</v>
      </c>
    </row>
    <row r="88" spans="1:10" x14ac:dyDescent="0.3">
      <c r="A88" s="1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2" t="s">
        <v>974</v>
      </c>
      <c r="I88" s="2" t="s">
        <v>926</v>
      </c>
      <c r="J88" s="2" t="s">
        <v>934</v>
      </c>
    </row>
    <row r="89" spans="1:10" x14ac:dyDescent="0.3">
      <c r="A89" s="1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2" t="s">
        <v>974</v>
      </c>
      <c r="I89" s="2" t="s">
        <v>926</v>
      </c>
      <c r="J89" s="2" t="s">
        <v>934</v>
      </c>
    </row>
    <row r="90" spans="1:10" x14ac:dyDescent="0.3">
      <c r="A90" s="1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2" t="s">
        <v>967</v>
      </c>
      <c r="I90" s="2" t="s">
        <v>973</v>
      </c>
      <c r="J90" s="2" t="s">
        <v>913</v>
      </c>
    </row>
    <row r="91" spans="1:10" x14ac:dyDescent="0.3">
      <c r="A91" s="1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2" t="s">
        <v>967</v>
      </c>
      <c r="I91" s="2" t="s">
        <v>973</v>
      </c>
      <c r="J91" s="2" t="s">
        <v>913</v>
      </c>
    </row>
    <row r="92" spans="1:10" x14ac:dyDescent="0.3">
      <c r="A92" s="1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2" t="s">
        <v>912</v>
      </c>
      <c r="I92" s="2" t="s">
        <v>958</v>
      </c>
      <c r="J92" s="2" t="s">
        <v>926</v>
      </c>
    </row>
    <row r="93" spans="1:10" x14ac:dyDescent="0.3">
      <c r="A93" s="1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2" t="s">
        <v>912</v>
      </c>
      <c r="I93" s="2" t="s">
        <v>958</v>
      </c>
      <c r="J93" s="2" t="s">
        <v>926</v>
      </c>
    </row>
    <row r="94" spans="1:10" x14ac:dyDescent="0.3">
      <c r="A94" s="1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2" t="s">
        <v>909</v>
      </c>
      <c r="I94" s="2" t="s">
        <v>975</v>
      </c>
      <c r="J94" s="2" t="s">
        <v>954</v>
      </c>
    </row>
    <row r="95" spans="1:10" x14ac:dyDescent="0.3">
      <c r="A95" s="1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2" t="s">
        <v>909</v>
      </c>
      <c r="I95" s="2" t="s">
        <v>975</v>
      </c>
      <c r="J95" s="2" t="s">
        <v>954</v>
      </c>
    </row>
    <row r="96" spans="1:10" x14ac:dyDescent="0.3">
      <c r="A96" s="1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2" t="s">
        <v>976</v>
      </c>
      <c r="I96" s="2" t="s">
        <v>376</v>
      </c>
      <c r="J96" s="2" t="s">
        <v>926</v>
      </c>
    </row>
    <row r="97" spans="1:10" x14ac:dyDescent="0.3">
      <c r="A97" s="1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2" t="s">
        <v>976</v>
      </c>
      <c r="I97" s="2" t="s">
        <v>376</v>
      </c>
      <c r="J97" s="2" t="s">
        <v>926</v>
      </c>
    </row>
    <row r="98" spans="1:10" x14ac:dyDescent="0.3">
      <c r="A98" s="1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2" t="s">
        <v>977</v>
      </c>
      <c r="I98" s="2" t="s">
        <v>12</v>
      </c>
      <c r="J98" s="2" t="s">
        <v>978</v>
      </c>
    </row>
    <row r="99" spans="1:10" x14ac:dyDescent="0.3">
      <c r="A99" s="1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2" t="s">
        <v>977</v>
      </c>
      <c r="I99" s="2" t="s">
        <v>12</v>
      </c>
      <c r="J99" s="2" t="s">
        <v>978</v>
      </c>
    </row>
    <row r="100" spans="1:10" x14ac:dyDescent="0.3">
      <c r="A100" s="1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2" t="s">
        <v>966</v>
      </c>
      <c r="I100" s="2" t="s">
        <v>979</v>
      </c>
      <c r="J100" s="2" t="s">
        <v>956</v>
      </c>
    </row>
    <row r="101" spans="1:10" x14ac:dyDescent="0.3">
      <c r="A101" s="1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2" t="s">
        <v>966</v>
      </c>
      <c r="I101" s="2" t="s">
        <v>979</v>
      </c>
      <c r="J101" s="2" t="s">
        <v>956</v>
      </c>
    </row>
    <row r="102" spans="1:10" x14ac:dyDescent="0.3">
      <c r="A102" s="1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2" t="s">
        <v>980</v>
      </c>
      <c r="I102" s="2" t="s">
        <v>376</v>
      </c>
      <c r="J102" s="2" t="s">
        <v>918</v>
      </c>
    </row>
    <row r="103" spans="1:10" x14ac:dyDescent="0.3">
      <c r="A103" s="1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2" t="s">
        <v>980</v>
      </c>
      <c r="I103" s="2" t="s">
        <v>376</v>
      </c>
      <c r="J103" s="2" t="s">
        <v>918</v>
      </c>
    </row>
    <row r="104" spans="1:10" x14ac:dyDescent="0.3">
      <c r="A104" s="1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2" t="s">
        <v>981</v>
      </c>
      <c r="I104" s="2" t="s">
        <v>376</v>
      </c>
      <c r="J104" s="2" t="s">
        <v>940</v>
      </c>
    </row>
    <row r="105" spans="1:10" x14ac:dyDescent="0.3">
      <c r="A105" s="1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2" t="s">
        <v>981</v>
      </c>
      <c r="I105" s="2" t="s">
        <v>376</v>
      </c>
      <c r="J105" s="2" t="s">
        <v>940</v>
      </c>
    </row>
    <row r="106" spans="1:10" x14ac:dyDescent="0.3">
      <c r="A106" s="1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2" t="s">
        <v>982</v>
      </c>
      <c r="I106" s="2" t="s">
        <v>916</v>
      </c>
      <c r="J106" s="2" t="s">
        <v>911</v>
      </c>
    </row>
    <row r="107" spans="1:10" x14ac:dyDescent="0.3">
      <c r="A107" s="1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2" t="s">
        <v>982</v>
      </c>
      <c r="I107" s="2" t="s">
        <v>916</v>
      </c>
      <c r="J107" s="2" t="s">
        <v>911</v>
      </c>
    </row>
    <row r="108" spans="1:10" x14ac:dyDescent="0.3">
      <c r="A108" s="1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2" t="s">
        <v>914</v>
      </c>
      <c r="I108" s="2" t="s">
        <v>12</v>
      </c>
      <c r="J108" s="2" t="s">
        <v>958</v>
      </c>
    </row>
    <row r="109" spans="1:10" x14ac:dyDescent="0.3">
      <c r="A109" s="1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2" t="s">
        <v>914</v>
      </c>
      <c r="I109" s="2" t="s">
        <v>12</v>
      </c>
      <c r="J109" s="2" t="s">
        <v>958</v>
      </c>
    </row>
    <row r="110" spans="1:10" x14ac:dyDescent="0.3">
      <c r="A110" s="1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2" t="s">
        <v>983</v>
      </c>
      <c r="I110" s="2"/>
      <c r="J110" s="2" t="s">
        <v>954</v>
      </c>
    </row>
    <row r="111" spans="1:10" x14ac:dyDescent="0.3">
      <c r="A111" s="1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2" t="s">
        <v>983</v>
      </c>
      <c r="I111" s="2"/>
      <c r="J111" s="2" t="s">
        <v>954</v>
      </c>
    </row>
    <row r="112" spans="1:10" x14ac:dyDescent="0.3">
      <c r="A112" s="1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2" t="s">
        <v>984</v>
      </c>
      <c r="I112" s="2" t="s">
        <v>12</v>
      </c>
      <c r="J112" s="2" t="s">
        <v>945</v>
      </c>
    </row>
    <row r="113" spans="1:10" x14ac:dyDescent="0.3">
      <c r="A113" s="1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2" t="s">
        <v>984</v>
      </c>
      <c r="I113" s="2" t="s">
        <v>12</v>
      </c>
      <c r="J113" s="2" t="s">
        <v>945</v>
      </c>
    </row>
    <row r="114" spans="1:10" x14ac:dyDescent="0.3">
      <c r="A114" s="1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2" t="s">
        <v>985</v>
      </c>
      <c r="I114" s="2" t="s">
        <v>956</v>
      </c>
      <c r="J114" s="2" t="s">
        <v>916</v>
      </c>
    </row>
    <row r="115" spans="1:10" x14ac:dyDescent="0.3">
      <c r="A115" s="1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2" t="s">
        <v>985</v>
      </c>
      <c r="I115" s="2" t="s">
        <v>956</v>
      </c>
      <c r="J115" s="2" t="s">
        <v>916</v>
      </c>
    </row>
    <row r="116" spans="1:10" x14ac:dyDescent="0.3">
      <c r="A116" s="1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2" t="s">
        <v>986</v>
      </c>
      <c r="I116" s="2" t="s">
        <v>910</v>
      </c>
      <c r="J116" s="2" t="s">
        <v>921</v>
      </c>
    </row>
    <row r="117" spans="1:10" x14ac:dyDescent="0.3">
      <c r="A117" s="1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2" t="s">
        <v>986</v>
      </c>
      <c r="I117" s="2" t="s">
        <v>910</v>
      </c>
      <c r="J117" s="2" t="s">
        <v>921</v>
      </c>
    </row>
    <row r="118" spans="1:10" x14ac:dyDescent="0.3">
      <c r="A118" s="1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2" t="s">
        <v>987</v>
      </c>
      <c r="I118" s="2" t="s">
        <v>988</v>
      </c>
      <c r="J118" s="2" t="s">
        <v>913</v>
      </c>
    </row>
    <row r="119" spans="1:10" x14ac:dyDescent="0.3">
      <c r="A119" s="1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2" t="s">
        <v>987</v>
      </c>
      <c r="I119" s="2" t="s">
        <v>988</v>
      </c>
      <c r="J119" s="2" t="s">
        <v>913</v>
      </c>
    </row>
    <row r="120" spans="1:10" x14ac:dyDescent="0.3">
      <c r="A120" s="1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2" t="s">
        <v>980</v>
      </c>
      <c r="I120" s="2" t="s">
        <v>920</v>
      </c>
      <c r="J120" s="2" t="s">
        <v>940</v>
      </c>
    </row>
    <row r="121" spans="1:10" x14ac:dyDescent="0.3">
      <c r="A121" s="1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2" t="s">
        <v>980</v>
      </c>
      <c r="I121" s="2" t="s">
        <v>920</v>
      </c>
      <c r="J121" s="2" t="s">
        <v>940</v>
      </c>
    </row>
    <row r="122" spans="1:10" x14ac:dyDescent="0.3">
      <c r="A122" s="1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2" t="s">
        <v>989</v>
      </c>
      <c r="I122" s="2" t="s">
        <v>12</v>
      </c>
      <c r="J122" s="2" t="s">
        <v>916</v>
      </c>
    </row>
    <row r="123" spans="1:10" x14ac:dyDescent="0.3">
      <c r="A123" s="1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2" t="s">
        <v>989</v>
      </c>
      <c r="I123" s="2" t="s">
        <v>12</v>
      </c>
      <c r="J123" s="2" t="s">
        <v>916</v>
      </c>
    </row>
    <row r="124" spans="1:10" x14ac:dyDescent="0.3">
      <c r="A124" s="1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2" t="s">
        <v>990</v>
      </c>
      <c r="I124" s="2" t="s">
        <v>911</v>
      </c>
      <c r="J124" s="2" t="s">
        <v>956</v>
      </c>
    </row>
    <row r="125" spans="1:10" x14ac:dyDescent="0.3">
      <c r="A125" s="1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2" t="s">
        <v>990</v>
      </c>
      <c r="I125" s="2" t="s">
        <v>911</v>
      </c>
      <c r="J125" s="2" t="s">
        <v>956</v>
      </c>
    </row>
    <row r="126" spans="1:10" x14ac:dyDescent="0.3">
      <c r="A126" s="1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2" t="s">
        <v>984</v>
      </c>
      <c r="I126" s="2" t="s">
        <v>916</v>
      </c>
      <c r="J126" s="2" t="s">
        <v>991</v>
      </c>
    </row>
    <row r="127" spans="1:10" x14ac:dyDescent="0.3">
      <c r="A127" s="1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2" t="s">
        <v>984</v>
      </c>
      <c r="I127" s="2" t="s">
        <v>916</v>
      </c>
      <c r="J127" s="2" t="s">
        <v>991</v>
      </c>
    </row>
    <row r="128" spans="1:10" x14ac:dyDescent="0.3">
      <c r="A128" s="1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2" t="s">
        <v>992</v>
      </c>
      <c r="I128" s="2" t="s">
        <v>923</v>
      </c>
      <c r="J128" s="2" t="s">
        <v>940</v>
      </c>
    </row>
    <row r="129" spans="1:10" x14ac:dyDescent="0.3">
      <c r="A129" s="1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2" t="s">
        <v>992</v>
      </c>
      <c r="I129" s="2" t="s">
        <v>923</v>
      </c>
      <c r="J129" s="2" t="s">
        <v>940</v>
      </c>
    </row>
    <row r="130" spans="1:10" x14ac:dyDescent="0.3">
      <c r="A130" s="1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2" t="s">
        <v>970</v>
      </c>
      <c r="I130" s="2" t="s">
        <v>12</v>
      </c>
      <c r="J130" s="2" t="s">
        <v>926</v>
      </c>
    </row>
    <row r="131" spans="1:10" x14ac:dyDescent="0.3">
      <c r="A131" s="1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2" t="s">
        <v>970</v>
      </c>
      <c r="I131" s="2" t="s">
        <v>12</v>
      </c>
      <c r="J131" s="2" t="s">
        <v>926</v>
      </c>
    </row>
    <row r="132" spans="1:10" x14ac:dyDescent="0.3">
      <c r="A132" s="1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2" t="s">
        <v>993</v>
      </c>
      <c r="I132" s="2" t="s">
        <v>12</v>
      </c>
      <c r="J132" s="2" t="s">
        <v>973</v>
      </c>
    </row>
    <row r="133" spans="1:10" x14ac:dyDescent="0.3">
      <c r="A133" s="1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2" t="s">
        <v>993</v>
      </c>
      <c r="I133" s="2" t="s">
        <v>12</v>
      </c>
      <c r="J133" s="2" t="s">
        <v>973</v>
      </c>
    </row>
    <row r="134" spans="1:10" x14ac:dyDescent="0.3">
      <c r="A134" s="1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2" t="s">
        <v>946</v>
      </c>
      <c r="I134" s="2" t="s">
        <v>994</v>
      </c>
      <c r="J134" s="2" t="s">
        <v>926</v>
      </c>
    </row>
    <row r="135" spans="1:10" x14ac:dyDescent="0.3">
      <c r="A135" s="1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2" t="s">
        <v>946</v>
      </c>
      <c r="I135" s="2" t="s">
        <v>994</v>
      </c>
      <c r="J135" s="2" t="s">
        <v>926</v>
      </c>
    </row>
    <row r="136" spans="1:10" x14ac:dyDescent="0.3">
      <c r="A136" s="1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2" t="s">
        <v>995</v>
      </c>
      <c r="I136" s="2" t="s">
        <v>996</v>
      </c>
      <c r="J136" s="2" t="s">
        <v>927</v>
      </c>
    </row>
    <row r="137" spans="1:10" x14ac:dyDescent="0.3">
      <c r="A137" s="1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2" t="s">
        <v>995</v>
      </c>
      <c r="I137" s="2" t="s">
        <v>996</v>
      </c>
      <c r="J137" s="2" t="s">
        <v>927</v>
      </c>
    </row>
    <row r="138" spans="1:10" x14ac:dyDescent="0.3">
      <c r="A138" s="1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2" t="s">
        <v>983</v>
      </c>
      <c r="I138" s="2" t="s">
        <v>934</v>
      </c>
      <c r="J138" s="2" t="s">
        <v>940</v>
      </c>
    </row>
    <row r="139" spans="1:10" x14ac:dyDescent="0.3">
      <c r="A139" s="1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2" t="s">
        <v>983</v>
      </c>
      <c r="I139" s="2" t="s">
        <v>934</v>
      </c>
      <c r="J139" s="2" t="s">
        <v>940</v>
      </c>
    </row>
    <row r="140" spans="1:10" x14ac:dyDescent="0.3">
      <c r="A140" s="1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2" t="s">
        <v>931</v>
      </c>
      <c r="I140" s="2" t="s">
        <v>997</v>
      </c>
      <c r="J140" s="2" t="s">
        <v>940</v>
      </c>
    </row>
    <row r="141" spans="1:10" x14ac:dyDescent="0.3">
      <c r="A141" s="1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2" t="s">
        <v>931</v>
      </c>
      <c r="I141" s="2" t="s">
        <v>997</v>
      </c>
      <c r="J141" s="2" t="s">
        <v>940</v>
      </c>
    </row>
    <row r="142" spans="1:10" x14ac:dyDescent="0.3">
      <c r="A142" s="1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2" t="s">
        <v>963</v>
      </c>
      <c r="I142" s="2" t="s">
        <v>998</v>
      </c>
      <c r="J142" s="2" t="s">
        <v>940</v>
      </c>
    </row>
    <row r="143" spans="1:10" x14ac:dyDescent="0.3">
      <c r="A143" s="1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2" t="s">
        <v>963</v>
      </c>
      <c r="I143" s="2" t="s">
        <v>998</v>
      </c>
      <c r="J143" s="2" t="s">
        <v>940</v>
      </c>
    </row>
    <row r="144" spans="1:10" x14ac:dyDescent="0.3">
      <c r="A144" s="1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2" t="s">
        <v>999</v>
      </c>
      <c r="I144" s="2" t="s">
        <v>1000</v>
      </c>
      <c r="J144" s="2" t="s">
        <v>935</v>
      </c>
    </row>
    <row r="145" spans="1:10" x14ac:dyDescent="0.3">
      <c r="A145" s="1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2" t="s">
        <v>999</v>
      </c>
      <c r="I145" s="2" t="s">
        <v>1000</v>
      </c>
      <c r="J145" s="2" t="s">
        <v>935</v>
      </c>
    </row>
    <row r="146" spans="1:10" x14ac:dyDescent="0.3">
      <c r="A146" s="1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2" t="s">
        <v>981</v>
      </c>
      <c r="I146" s="2" t="s">
        <v>12</v>
      </c>
      <c r="J146" s="2" t="s">
        <v>940</v>
      </c>
    </row>
    <row r="147" spans="1:10" x14ac:dyDescent="0.3">
      <c r="A147" s="1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2" t="s">
        <v>981</v>
      </c>
      <c r="I147" s="2" t="s">
        <v>12</v>
      </c>
      <c r="J147" s="2" t="s">
        <v>940</v>
      </c>
    </row>
    <row r="148" spans="1:10" x14ac:dyDescent="0.3">
      <c r="A148" s="1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2" t="s">
        <v>977</v>
      </c>
      <c r="I148" s="2" t="s">
        <v>12</v>
      </c>
      <c r="J148" s="2" t="s">
        <v>911</v>
      </c>
    </row>
    <row r="149" spans="1:10" x14ac:dyDescent="0.3">
      <c r="A149" s="1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2" t="s">
        <v>977</v>
      </c>
      <c r="I149" s="2" t="s">
        <v>12</v>
      </c>
      <c r="J149" s="2" t="s">
        <v>911</v>
      </c>
    </row>
    <row r="150" spans="1:10" x14ac:dyDescent="0.3">
      <c r="A150" s="1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2" t="s">
        <v>931</v>
      </c>
      <c r="I150" s="2" t="s">
        <v>921</v>
      </c>
      <c r="J150" s="2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5DA29-AD4B-4845-A75D-D3EC1DF2F17B}">
  <sheetPr codeName="Sheet5"/>
  <dimension ref="A1:G150"/>
  <sheetViews>
    <sheetView workbookViewId="0">
      <selection activeCell="F12" sqref="F12"/>
    </sheetView>
  </sheetViews>
  <sheetFormatPr defaultRowHeight="14.4" x14ac:dyDescent="0.3"/>
  <cols>
    <col min="1" max="1" width="32.33203125" bestFit="1" customWidth="1"/>
    <col min="2" max="2" width="19.33203125" bestFit="1" customWidth="1"/>
    <col min="3" max="3" width="9.77734375" customWidth="1"/>
    <col min="4" max="4" width="10.44140625" customWidth="1"/>
    <col min="5" max="5" width="12.44140625" customWidth="1"/>
    <col min="6" max="6" width="7.6640625" bestFit="1" customWidth="1"/>
    <col min="7" max="7" width="8.21875" bestFit="1" customWidth="1"/>
  </cols>
  <sheetData>
    <row r="1" spans="1:7" ht="72" x14ac:dyDescent="0.3">
      <c r="A1" s="7" t="s">
        <v>0</v>
      </c>
      <c r="B1" s="8" t="s">
        <v>1001</v>
      </c>
      <c r="C1" s="9" t="s">
        <v>1002</v>
      </c>
      <c r="D1" s="10" t="s">
        <v>597</v>
      </c>
      <c r="E1" s="10" t="s">
        <v>8</v>
      </c>
      <c r="F1" s="10" t="s">
        <v>598</v>
      </c>
      <c r="G1" s="10" t="s">
        <v>600</v>
      </c>
    </row>
    <row r="2" spans="1:7" x14ac:dyDescent="0.3">
      <c r="A2" s="1" t="s">
        <v>9</v>
      </c>
      <c r="B2" t="str">
        <f>MID(A2,FIND("_",A2,1)+1,FIND("(",A2,1)-FIND("_",A2,1)-2)</f>
        <v>Abdul Hamid</v>
      </c>
      <c r="C2" s="11">
        <f t="shared" ref="C2:C33" si="0">TIMEVALUE(VLOOKUP(A2,Edata,2,0))</f>
        <v>0.34424768518518517</v>
      </c>
      <c r="D2" s="11">
        <f t="shared" ref="D2:D33" si="1">TIMEVALUE(VLOOKUP(A2,Edata,3,0))</f>
        <v>0.20693287037037036</v>
      </c>
      <c r="E2" s="11">
        <f t="shared" ref="E2:E33" si="2">TIMEVALUE(VLOOKUP(A2,Bdata,9,0))</f>
        <v>4.7708333333333332E-2</v>
      </c>
      <c r="F2" s="13">
        <f t="shared" ref="F2:F33" si="3">VLOOKUP(A2,Edata,4,0)</f>
        <v>98</v>
      </c>
      <c r="G2" s="14">
        <f t="shared" ref="G2:G33" si="4">VLOOKUP(A2,Edata,6,0)</f>
        <v>0.55697138822580095</v>
      </c>
    </row>
    <row r="3" spans="1:7" x14ac:dyDescent="0.3">
      <c r="A3" s="1" t="s">
        <v>14</v>
      </c>
      <c r="B3" t="str">
        <f t="shared" ref="B3:B66" si="5">MID(A3,FIND("_",A3,1)+1,FIND("(",A3,1)-FIND("_",A3,1)-2)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 s="13">
        <f t="shared" si="3"/>
        <v>23</v>
      </c>
      <c r="G3" s="14">
        <f t="shared" si="4"/>
        <v>0.58027306967984904</v>
      </c>
    </row>
    <row r="4" spans="1:7" x14ac:dyDescent="0.3">
      <c r="A4" s="1" t="s">
        <v>18</v>
      </c>
      <c r="B4" t="str">
        <f t="shared" si="5"/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 s="13">
        <f t="shared" si="3"/>
        <v>28</v>
      </c>
      <c r="G4" s="14">
        <f t="shared" si="4"/>
        <v>0.51708756749505302</v>
      </c>
    </row>
    <row r="5" spans="1:7" x14ac:dyDescent="0.3">
      <c r="A5" s="1" t="s">
        <v>23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 s="13">
        <f t="shared" si="3"/>
        <v>29</v>
      </c>
      <c r="G5" s="14">
        <f t="shared" si="4"/>
        <v>0.47720778337188702</v>
      </c>
    </row>
    <row r="6" spans="1:7" x14ac:dyDescent="0.3">
      <c r="A6" s="1" t="s">
        <v>28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 s="13">
        <f t="shared" si="3"/>
        <v>93</v>
      </c>
      <c r="G6" s="14">
        <f t="shared" si="4"/>
        <v>0.43288831738587802</v>
      </c>
    </row>
    <row r="7" spans="1:7" x14ac:dyDescent="0.3">
      <c r="A7" s="1" t="s">
        <v>33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 s="13">
        <f t="shared" si="3"/>
        <v>92</v>
      </c>
      <c r="G7" s="14">
        <f t="shared" si="4"/>
        <v>0.65495030262646503</v>
      </c>
    </row>
    <row r="8" spans="1:7" x14ac:dyDescent="0.3">
      <c r="A8" s="1" t="s">
        <v>37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 s="13">
        <f t="shared" si="3"/>
        <v>26</v>
      </c>
      <c r="G8" s="14">
        <f t="shared" si="4"/>
        <v>0.49476474931203401</v>
      </c>
    </row>
    <row r="9" spans="1:7" x14ac:dyDescent="0.3">
      <c r="A9" s="1" t="s">
        <v>42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 s="13">
        <f t="shared" si="3"/>
        <v>90</v>
      </c>
      <c r="G9" s="14">
        <f t="shared" si="4"/>
        <v>0.55128627474469205</v>
      </c>
    </row>
    <row r="10" spans="1:7" x14ac:dyDescent="0.3">
      <c r="A10" s="1" t="s">
        <v>46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 s="13">
        <f t="shared" si="3"/>
        <v>89</v>
      </c>
      <c r="G10" s="14">
        <f t="shared" si="4"/>
        <v>0.55206432867085597</v>
      </c>
    </row>
    <row r="11" spans="1:7" x14ac:dyDescent="0.3">
      <c r="A11" s="1" t="s">
        <v>50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 s="13">
        <f t="shared" si="3"/>
        <v>54</v>
      </c>
      <c r="G11" s="14">
        <f t="shared" si="4"/>
        <v>0.56868945774108703</v>
      </c>
    </row>
    <row r="12" spans="1:7" x14ac:dyDescent="0.3">
      <c r="A12" s="1" t="s">
        <v>54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 s="13">
        <f t="shared" si="3"/>
        <v>87</v>
      </c>
      <c r="G12" s="14">
        <f t="shared" si="4"/>
        <v>0.56035332087650802</v>
      </c>
    </row>
    <row r="13" spans="1:7" x14ac:dyDescent="0.3">
      <c r="A13" s="1" t="s">
        <v>58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 s="13">
        <f t="shared" si="3"/>
        <v>65</v>
      </c>
      <c r="G13" s="14">
        <f t="shared" si="4"/>
        <v>0.41552495697073999</v>
      </c>
    </row>
    <row r="14" spans="1:7" x14ac:dyDescent="0.3">
      <c r="A14" s="1" t="s">
        <v>63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 s="13">
        <f t="shared" si="3"/>
        <v>85</v>
      </c>
      <c r="G14" s="14">
        <f t="shared" si="4"/>
        <v>0.50026955994339195</v>
      </c>
    </row>
    <row r="15" spans="1:7" x14ac:dyDescent="0.3">
      <c r="A15" s="1" t="s">
        <v>68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 s="13">
        <f t="shared" si="3"/>
        <v>65</v>
      </c>
      <c r="G15" s="14">
        <f t="shared" si="4"/>
        <v>0.51396318166029897</v>
      </c>
    </row>
    <row r="16" spans="1:7" x14ac:dyDescent="0.3">
      <c r="A16" s="1" t="s">
        <v>72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 s="13">
        <f t="shared" si="3"/>
        <v>83</v>
      </c>
      <c r="G16" s="14">
        <f t="shared" si="4"/>
        <v>0.510580502364264</v>
      </c>
    </row>
    <row r="17" spans="1:7" x14ac:dyDescent="0.3">
      <c r="A17" s="1" t="s">
        <v>76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 s="13">
        <f t="shared" si="3"/>
        <v>82</v>
      </c>
      <c r="G17" s="14">
        <f t="shared" si="4"/>
        <v>0.48292274174627098</v>
      </c>
    </row>
    <row r="18" spans="1:7" x14ac:dyDescent="0.3">
      <c r="A18" s="1" t="s">
        <v>81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 s="13">
        <f t="shared" si="3"/>
        <v>81</v>
      </c>
      <c r="G18" s="14">
        <f t="shared" si="4"/>
        <v>0.57362319861879396</v>
      </c>
    </row>
    <row r="19" spans="1:7" x14ac:dyDescent="0.3">
      <c r="A19" s="1" t="s">
        <v>85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 s="13">
        <f t="shared" si="3"/>
        <v>80</v>
      </c>
      <c r="G19" s="14">
        <f t="shared" si="4"/>
        <v>0.56430560681810604</v>
      </c>
    </row>
    <row r="20" spans="1:7" x14ac:dyDescent="0.3">
      <c r="A20" s="1" t="s">
        <v>88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 s="13">
        <f t="shared" si="3"/>
        <v>79</v>
      </c>
      <c r="G20" s="14">
        <f t="shared" si="4"/>
        <v>0.46974331693044302</v>
      </c>
    </row>
    <row r="21" spans="1:7" x14ac:dyDescent="0.3">
      <c r="A21" s="1" t="s">
        <v>94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 s="13">
        <f t="shared" si="3"/>
        <v>78</v>
      </c>
      <c r="G21" s="14">
        <f t="shared" si="4"/>
        <v>0.57495313336904097</v>
      </c>
    </row>
    <row r="22" spans="1:7" x14ac:dyDescent="0.3">
      <c r="A22" s="1" t="s">
        <v>99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 s="13">
        <f t="shared" si="3"/>
        <v>77</v>
      </c>
      <c r="G22" s="14">
        <f t="shared" si="4"/>
        <v>0.57945376590932096</v>
      </c>
    </row>
    <row r="23" spans="1:7" x14ac:dyDescent="0.3">
      <c r="A23" s="1" t="s">
        <v>103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 s="13">
        <f t="shared" si="3"/>
        <v>76</v>
      </c>
      <c r="G23" s="14">
        <f t="shared" si="4"/>
        <v>0.588296375695049</v>
      </c>
    </row>
    <row r="24" spans="1:7" x14ac:dyDescent="0.3">
      <c r="A24" s="1" t="s">
        <v>107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 s="13">
        <f t="shared" si="3"/>
        <v>75</v>
      </c>
      <c r="G24" s="14">
        <f t="shared" si="4"/>
        <v>0.46267686976609901</v>
      </c>
    </row>
    <row r="25" spans="1:7" x14ac:dyDescent="0.3">
      <c r="A25" s="1" t="s">
        <v>112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 s="13">
        <f t="shared" si="3"/>
        <v>74</v>
      </c>
      <c r="G25" s="14">
        <f t="shared" si="4"/>
        <v>0.478030199972793</v>
      </c>
    </row>
    <row r="26" spans="1:7" x14ac:dyDescent="0.3">
      <c r="A26" s="1" t="s">
        <v>117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 s="13">
        <f t="shared" si="3"/>
        <v>73</v>
      </c>
      <c r="G26" s="14">
        <f t="shared" si="4"/>
        <v>0.59983142279163904</v>
      </c>
    </row>
    <row r="27" spans="1:7" x14ac:dyDescent="0.3">
      <c r="A27" s="1" t="s">
        <v>121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 s="13">
        <f t="shared" si="3"/>
        <v>72</v>
      </c>
      <c r="G27" s="14">
        <f t="shared" si="4"/>
        <v>0.65029060203969702</v>
      </c>
    </row>
    <row r="28" spans="1:7" x14ac:dyDescent="0.3">
      <c r="A28" s="1" t="s">
        <v>124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 s="13">
        <f t="shared" si="3"/>
        <v>71</v>
      </c>
      <c r="G28" s="14">
        <f t="shared" si="4"/>
        <v>0.55001844461584903</v>
      </c>
    </row>
    <row r="29" spans="1:7" x14ac:dyDescent="0.3">
      <c r="A29" s="1" t="s">
        <v>128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 s="13">
        <f t="shared" si="3"/>
        <v>70</v>
      </c>
      <c r="G29" s="14">
        <f t="shared" si="4"/>
        <v>0.51334660682347399</v>
      </c>
    </row>
    <row r="30" spans="1:7" x14ac:dyDescent="0.3">
      <c r="A30" s="1" t="s">
        <v>132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 s="13">
        <f t="shared" si="3"/>
        <v>69</v>
      </c>
      <c r="G30" s="14">
        <f t="shared" si="4"/>
        <v>0.43603379219817601</v>
      </c>
    </row>
    <row r="31" spans="1:7" x14ac:dyDescent="0.3">
      <c r="A31" s="1" t="s">
        <v>138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 s="13">
        <f t="shared" si="3"/>
        <v>68</v>
      </c>
      <c r="G31" s="14">
        <f t="shared" si="4"/>
        <v>0.52954105200417201</v>
      </c>
    </row>
    <row r="32" spans="1:7" x14ac:dyDescent="0.3">
      <c r="A32" s="1" t="s">
        <v>143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 s="13">
        <f t="shared" si="3"/>
        <v>67</v>
      </c>
      <c r="G32" s="14">
        <f t="shared" si="4"/>
        <v>0.56446852102649603</v>
      </c>
    </row>
    <row r="33" spans="1:7" x14ac:dyDescent="0.3">
      <c r="A33" s="1" t="s">
        <v>145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 s="13">
        <f t="shared" si="3"/>
        <v>66</v>
      </c>
      <c r="G33" s="14">
        <f t="shared" si="4"/>
        <v>0.49789043664612898</v>
      </c>
    </row>
    <row r="34" spans="1:7" x14ac:dyDescent="0.3">
      <c r="A34" s="1" t="s">
        <v>150</v>
      </c>
      <c r="B34" t="str">
        <f t="shared" si="5"/>
        <v>Jagdish Chandra</v>
      </c>
      <c r="C34" s="11">
        <f t="shared" ref="C34:C65" si="6">TIMEVALUE(VLOOKUP(A34,Edata,2,0))</f>
        <v>0.34664351851851855</v>
      </c>
      <c r="D34" s="11">
        <f t="shared" ref="D34:D65" si="7">TIMEVALUE(VLOOKUP(A34,Edata,3,0))</f>
        <v>0.20781250000000001</v>
      </c>
      <c r="E34" s="11">
        <f t="shared" ref="E34:E65" si="8">TIMEVALUE(VLOOKUP(A34,Bdata,9,0))</f>
        <v>4.7951388888888891E-2</v>
      </c>
      <c r="F34" s="13">
        <f t="shared" ref="F34:F65" si="9">VLOOKUP(A34,Edata,4,0)</f>
        <v>65</v>
      </c>
      <c r="G34" s="14">
        <f t="shared" ref="G34:G65" si="10">VLOOKUP(A34,Edata,6,0)</f>
        <v>0.56270450751252099</v>
      </c>
    </row>
    <row r="35" spans="1:7" x14ac:dyDescent="0.3">
      <c r="A35" s="1" t="s">
        <v>153</v>
      </c>
      <c r="B35" t="str">
        <f t="shared" si="5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 s="13">
        <f t="shared" si="9"/>
        <v>64</v>
      </c>
      <c r="G35" s="14">
        <f t="shared" si="10"/>
        <v>0.57680556021891705</v>
      </c>
    </row>
    <row r="36" spans="1:7" x14ac:dyDescent="0.3">
      <c r="A36" s="1" t="s">
        <v>157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 s="13">
        <f t="shared" si="9"/>
        <v>63</v>
      </c>
      <c r="G36" s="14">
        <f t="shared" si="10"/>
        <v>0.55728373576970502</v>
      </c>
    </row>
    <row r="37" spans="1:7" x14ac:dyDescent="0.3">
      <c r="A37" s="1" t="s">
        <v>161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 s="13">
        <f t="shared" si="9"/>
        <v>62</v>
      </c>
      <c r="G37" s="14">
        <f t="shared" si="10"/>
        <v>0.47590463594126198</v>
      </c>
    </row>
    <row r="38" spans="1:7" x14ac:dyDescent="0.3">
      <c r="A38" s="1" t="s">
        <v>167</v>
      </c>
      <c r="B38" t="str">
        <f t="shared" si="5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 s="13">
        <f t="shared" si="9"/>
        <v>61</v>
      </c>
      <c r="G38" s="14">
        <f t="shared" si="10"/>
        <v>0.55636846224520997</v>
      </c>
    </row>
    <row r="39" spans="1:7" x14ac:dyDescent="0.3">
      <c r="A39" s="1" t="s">
        <v>171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 s="13">
        <f t="shared" si="9"/>
        <v>60</v>
      </c>
      <c r="G39" s="14">
        <f t="shared" si="10"/>
        <v>0.527970147246689</v>
      </c>
    </row>
    <row r="40" spans="1:7" x14ac:dyDescent="0.3">
      <c r="A40" s="1" t="s">
        <v>173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 s="13">
        <f t="shared" si="9"/>
        <v>59</v>
      </c>
      <c r="G40" s="14">
        <f t="shared" si="10"/>
        <v>0.565025741108382</v>
      </c>
    </row>
    <row r="41" spans="1:7" x14ac:dyDescent="0.3">
      <c r="A41" s="1" t="s">
        <v>177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 s="13">
        <f t="shared" si="9"/>
        <v>58</v>
      </c>
      <c r="G41" s="14">
        <f t="shared" si="10"/>
        <v>0.48579278917035301</v>
      </c>
    </row>
    <row r="42" spans="1:7" x14ac:dyDescent="0.3">
      <c r="A42" s="1" t="s">
        <v>181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 s="13">
        <f t="shared" si="9"/>
        <v>57</v>
      </c>
      <c r="G42" s="14">
        <f t="shared" si="10"/>
        <v>0.572258996673499</v>
      </c>
    </row>
    <row r="43" spans="1:7" x14ac:dyDescent="0.3">
      <c r="A43" s="1" t="s">
        <v>185</v>
      </c>
      <c r="B43" t="str">
        <f t="shared" si="5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 s="13">
        <f t="shared" si="9"/>
        <v>56</v>
      </c>
      <c r="G43" s="14">
        <f t="shared" si="10"/>
        <v>0.46542627048042201</v>
      </c>
    </row>
    <row r="44" spans="1:7" x14ac:dyDescent="0.3">
      <c r="A44" s="1" t="s">
        <v>190</v>
      </c>
      <c r="B44" t="str">
        <f t="shared" si="5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 s="13">
        <f t="shared" si="9"/>
        <v>55</v>
      </c>
      <c r="G44" s="14">
        <f t="shared" si="10"/>
        <v>0.64380836602751801</v>
      </c>
    </row>
    <row r="45" spans="1:7" x14ac:dyDescent="0.3">
      <c r="A45" s="1" t="s">
        <v>193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 s="13">
        <f t="shared" si="9"/>
        <v>54</v>
      </c>
      <c r="G45" s="14">
        <f t="shared" si="10"/>
        <v>0.57347234098533195</v>
      </c>
    </row>
    <row r="46" spans="1:7" x14ac:dyDescent="0.3">
      <c r="A46" s="1" t="s">
        <v>197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 s="13">
        <f t="shared" si="9"/>
        <v>53</v>
      </c>
      <c r="G46" s="14">
        <f t="shared" si="10"/>
        <v>0.64717479317021698</v>
      </c>
    </row>
    <row r="47" spans="1:7" x14ac:dyDescent="0.3">
      <c r="A47" s="1" t="s">
        <v>201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 s="13">
        <f t="shared" si="9"/>
        <v>52</v>
      </c>
      <c r="G47" s="14">
        <f t="shared" si="10"/>
        <v>0.50443090556632497</v>
      </c>
    </row>
    <row r="48" spans="1:7" x14ac:dyDescent="0.3">
      <c r="A48" s="1" t="s">
        <v>206</v>
      </c>
      <c r="B48" t="str">
        <f t="shared" si="5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 s="13">
        <f t="shared" si="9"/>
        <v>51</v>
      </c>
      <c r="G48" s="14">
        <f t="shared" si="10"/>
        <v>0.55280122283511701</v>
      </c>
    </row>
    <row r="49" spans="1:7" x14ac:dyDescent="0.3">
      <c r="A49" s="1" t="s">
        <v>208</v>
      </c>
      <c r="B49" t="str">
        <f t="shared" si="5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 s="13">
        <f t="shared" si="9"/>
        <v>50</v>
      </c>
      <c r="G49" s="14">
        <f t="shared" si="10"/>
        <v>0.55493137782561897</v>
      </c>
    </row>
    <row r="50" spans="1:7" x14ac:dyDescent="0.3">
      <c r="A50" s="1" t="s">
        <v>210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 s="13">
        <f t="shared" si="9"/>
        <v>49</v>
      </c>
      <c r="G50" s="14">
        <f t="shared" si="10"/>
        <v>0.55217497131332804</v>
      </c>
    </row>
    <row r="51" spans="1:7" x14ac:dyDescent="0.3">
      <c r="A51" s="1" t="s">
        <v>213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 s="13">
        <f t="shared" si="9"/>
        <v>48</v>
      </c>
      <c r="G51" s="14">
        <f t="shared" si="10"/>
        <v>0.58819557756147001</v>
      </c>
    </row>
    <row r="52" spans="1:7" x14ac:dyDescent="0.3">
      <c r="A52" s="1" t="s">
        <v>217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 s="13">
        <f t="shared" si="9"/>
        <v>47</v>
      </c>
      <c r="G52" s="14">
        <f t="shared" si="10"/>
        <v>0.55534863732407003</v>
      </c>
    </row>
    <row r="53" spans="1:7" x14ac:dyDescent="0.3">
      <c r="A53" s="1" t="s">
        <v>222</v>
      </c>
      <c r="B53" t="str">
        <f t="shared" si="5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 s="13">
        <f t="shared" si="9"/>
        <v>46</v>
      </c>
      <c r="G53" s="14">
        <f t="shared" si="10"/>
        <v>0.55815083469267301</v>
      </c>
    </row>
    <row r="54" spans="1:7" x14ac:dyDescent="0.3">
      <c r="A54" s="1" t="s">
        <v>224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 s="13">
        <f t="shared" si="9"/>
        <v>45</v>
      </c>
      <c r="G54" s="14">
        <f t="shared" si="10"/>
        <v>0.53002824185919895</v>
      </c>
    </row>
    <row r="55" spans="1:7" x14ac:dyDescent="0.3">
      <c r="A55" s="1" t="s">
        <v>227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 s="13">
        <f t="shared" si="9"/>
        <v>44</v>
      </c>
      <c r="G55" s="14">
        <f t="shared" si="10"/>
        <v>0.54639905548996504</v>
      </c>
    </row>
    <row r="56" spans="1:7" x14ac:dyDescent="0.3">
      <c r="A56" s="1" t="s">
        <v>231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 s="13">
        <f t="shared" si="9"/>
        <v>43</v>
      </c>
      <c r="G56" s="14">
        <f t="shared" si="10"/>
        <v>0.52849609939323905</v>
      </c>
    </row>
    <row r="57" spans="1:7" x14ac:dyDescent="0.3">
      <c r="A57" s="1" t="s">
        <v>235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 s="13">
        <f t="shared" si="9"/>
        <v>42</v>
      </c>
      <c r="G57" s="14">
        <f t="shared" si="10"/>
        <v>0.53279711551795905</v>
      </c>
    </row>
    <row r="58" spans="1:7" x14ac:dyDescent="0.3">
      <c r="A58" s="1" t="s">
        <v>237</v>
      </c>
      <c r="B58" t="str">
        <f t="shared" si="5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 s="13">
        <f t="shared" si="9"/>
        <v>41</v>
      </c>
      <c r="G58" s="14">
        <f t="shared" si="10"/>
        <v>0.53150089401535605</v>
      </c>
    </row>
    <row r="59" spans="1:7" x14ac:dyDescent="0.3">
      <c r="A59" s="1" t="s">
        <v>239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 s="13">
        <f t="shared" si="9"/>
        <v>40</v>
      </c>
      <c r="G59" s="14">
        <f t="shared" si="10"/>
        <v>0.58954564004897303</v>
      </c>
    </row>
    <row r="60" spans="1:7" x14ac:dyDescent="0.3">
      <c r="A60" s="1" t="s">
        <v>242</v>
      </c>
      <c r="B60" t="str">
        <f t="shared" si="5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 s="13">
        <f t="shared" si="9"/>
        <v>39</v>
      </c>
      <c r="G60" s="14">
        <f t="shared" si="10"/>
        <v>0.34903360911806097</v>
      </c>
    </row>
    <row r="61" spans="1:7" x14ac:dyDescent="0.3">
      <c r="A61" s="1" t="s">
        <v>247</v>
      </c>
      <c r="B61" t="str">
        <f t="shared" si="5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 s="13">
        <f t="shared" si="9"/>
        <v>38</v>
      </c>
      <c r="G61" s="14">
        <f t="shared" si="10"/>
        <v>0.47933717288067101</v>
      </c>
    </row>
    <row r="62" spans="1:7" x14ac:dyDescent="0.3">
      <c r="A62" s="1" t="s">
        <v>252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 s="13">
        <f t="shared" si="9"/>
        <v>37</v>
      </c>
      <c r="G62" s="14">
        <f t="shared" si="10"/>
        <v>0.62762080802746201</v>
      </c>
    </row>
    <row r="63" spans="1:7" x14ac:dyDescent="0.3">
      <c r="A63" s="1" t="s">
        <v>255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 s="13">
        <f t="shared" si="9"/>
        <v>36</v>
      </c>
      <c r="G63" s="14">
        <f t="shared" si="10"/>
        <v>0.47561801557737898</v>
      </c>
    </row>
    <row r="64" spans="1:7" x14ac:dyDescent="0.3">
      <c r="A64" s="1" t="s">
        <v>258</v>
      </c>
      <c r="B64" t="str">
        <f t="shared" si="5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 s="13">
        <f t="shared" si="9"/>
        <v>35</v>
      </c>
      <c r="G64" s="14">
        <f t="shared" si="10"/>
        <v>0.43635543840177599</v>
      </c>
    </row>
    <row r="65" spans="1:7" x14ac:dyDescent="0.3">
      <c r="A65" s="1" t="s">
        <v>262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 s="13">
        <f t="shared" si="9"/>
        <v>34</v>
      </c>
      <c r="G65" s="14">
        <f t="shared" si="10"/>
        <v>0.451270369721395</v>
      </c>
    </row>
    <row r="66" spans="1:7" x14ac:dyDescent="0.3">
      <c r="A66" s="1" t="s">
        <v>268</v>
      </c>
      <c r="B66" t="str">
        <f t="shared" si="5"/>
        <v>Mukesh Nagar</v>
      </c>
      <c r="C66" s="11">
        <f t="shared" ref="C66:C97" si="11">TIMEVALUE(VLOOKUP(A66,Edata,2,0))</f>
        <v>0.20910879629629631</v>
      </c>
      <c r="D66" s="11">
        <f t="shared" ref="D66:D97" si="12">TIMEVALUE(VLOOKUP(A66,Edata,3,0))</f>
        <v>0.13449074074074074</v>
      </c>
      <c r="E66" s="11">
        <f t="shared" ref="E66:E97" si="13">TIMEVALUE(VLOOKUP(A66,Bdata,9,0))</f>
        <v>2.0532407407407409E-2</v>
      </c>
      <c r="F66" s="13">
        <f t="shared" ref="F66:F97" si="14">VLOOKUP(A66,Edata,4,0)</f>
        <v>33</v>
      </c>
      <c r="G66" s="14">
        <f t="shared" ref="G66:G97" si="15">VLOOKUP(A66,Edata,6,0)</f>
        <v>0.61244257486024201</v>
      </c>
    </row>
    <row r="67" spans="1:7" x14ac:dyDescent="0.3">
      <c r="A67" s="1" t="s">
        <v>272</v>
      </c>
      <c r="B67" t="str">
        <f t="shared" ref="B67:B130" si="16">MID(A67,FIND("_",A67,1)+1,FIND("(",A67,1)-FIND("_",A67,1)-2)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 s="13">
        <f t="shared" si="14"/>
        <v>32</v>
      </c>
      <c r="G67" s="14">
        <f t="shared" si="15"/>
        <v>0.51755872288115901</v>
      </c>
    </row>
    <row r="68" spans="1:7" x14ac:dyDescent="0.3">
      <c r="A68" s="1" t="s">
        <v>275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 s="13">
        <f t="shared" si="14"/>
        <v>31</v>
      </c>
      <c r="G68" s="14">
        <f t="shared" si="15"/>
        <v>0.55550735760285597</v>
      </c>
    </row>
    <row r="69" spans="1:7" x14ac:dyDescent="0.3">
      <c r="A69" s="1" t="s">
        <v>279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 s="13">
        <f t="shared" si="14"/>
        <v>30</v>
      </c>
      <c r="G69" s="14">
        <f t="shared" si="15"/>
        <v>0.45535862734013899</v>
      </c>
    </row>
    <row r="70" spans="1:7" x14ac:dyDescent="0.3">
      <c r="A70" s="1" t="s">
        <v>283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 s="13">
        <f t="shared" si="14"/>
        <v>29</v>
      </c>
      <c r="G70" s="14">
        <f t="shared" si="15"/>
        <v>0.53445058742225304</v>
      </c>
    </row>
    <row r="71" spans="1:7" x14ac:dyDescent="0.3">
      <c r="A71" s="1" t="s">
        <v>284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 s="13">
        <f t="shared" si="14"/>
        <v>28</v>
      </c>
      <c r="G71" s="14">
        <f t="shared" si="15"/>
        <v>0.55914916459773201</v>
      </c>
    </row>
    <row r="72" spans="1:7" x14ac:dyDescent="0.3">
      <c r="A72" s="1" t="s">
        <v>289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 s="13">
        <f t="shared" si="14"/>
        <v>29</v>
      </c>
      <c r="G72" s="14">
        <f t="shared" si="15"/>
        <v>0.56847106148351101</v>
      </c>
    </row>
    <row r="73" spans="1:7" x14ac:dyDescent="0.3">
      <c r="A73" s="1" t="s">
        <v>291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 s="13">
        <f t="shared" si="14"/>
        <v>30</v>
      </c>
      <c r="G73" s="14">
        <f t="shared" si="15"/>
        <v>0.47509108744394601</v>
      </c>
    </row>
    <row r="74" spans="1:7" x14ac:dyDescent="0.3">
      <c r="A74" s="1" t="s">
        <v>295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 s="13">
        <f t="shared" si="14"/>
        <v>31</v>
      </c>
      <c r="G74" s="14">
        <f t="shared" si="15"/>
        <v>0.47578531804104401</v>
      </c>
    </row>
    <row r="75" spans="1:7" x14ac:dyDescent="0.3">
      <c r="A75" s="1" t="s">
        <v>299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 s="13">
        <f t="shared" si="14"/>
        <v>32</v>
      </c>
      <c r="G75" s="14">
        <f t="shared" si="15"/>
        <v>0.46898271622042897</v>
      </c>
    </row>
    <row r="76" spans="1:7" x14ac:dyDescent="0.3">
      <c r="A76" s="1" t="s">
        <v>302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 s="13">
        <f t="shared" si="14"/>
        <v>33</v>
      </c>
      <c r="G76" s="14">
        <f t="shared" si="15"/>
        <v>0.51361161524500898</v>
      </c>
    </row>
    <row r="77" spans="1:7" x14ac:dyDescent="0.3">
      <c r="A77" s="1" t="s">
        <v>305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 s="13">
        <f t="shared" si="14"/>
        <v>34</v>
      </c>
      <c r="G77" s="14">
        <f t="shared" si="15"/>
        <v>0.525112224318522</v>
      </c>
    </row>
    <row r="78" spans="1:7" x14ac:dyDescent="0.3">
      <c r="A78" s="1" t="s">
        <v>309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 s="13">
        <f t="shared" si="14"/>
        <v>35</v>
      </c>
      <c r="G78" s="14">
        <f t="shared" si="15"/>
        <v>0.348600086352918</v>
      </c>
    </row>
    <row r="79" spans="1:7" x14ac:dyDescent="0.3">
      <c r="A79" s="1" t="s">
        <v>315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 s="13">
        <f t="shared" si="14"/>
        <v>36</v>
      </c>
      <c r="G79" s="14">
        <f t="shared" si="15"/>
        <v>0.314709762532982</v>
      </c>
    </row>
    <row r="80" spans="1:7" x14ac:dyDescent="0.3">
      <c r="A80" s="1" t="s">
        <v>320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 s="13">
        <f t="shared" si="14"/>
        <v>37</v>
      </c>
      <c r="G80" s="14">
        <f t="shared" si="15"/>
        <v>0.55600710333993597</v>
      </c>
    </row>
    <row r="81" spans="1:7" x14ac:dyDescent="0.3">
      <c r="A81" s="1" t="s">
        <v>323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 s="13">
        <f t="shared" si="14"/>
        <v>38</v>
      </c>
      <c r="G81" s="14">
        <f t="shared" si="15"/>
        <v>0.46221628838451301</v>
      </c>
    </row>
    <row r="82" spans="1:7" x14ac:dyDescent="0.3">
      <c r="A82" s="1" t="s">
        <v>328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 s="13">
        <f t="shared" si="14"/>
        <v>39</v>
      </c>
      <c r="G82" s="14">
        <f t="shared" si="15"/>
        <v>0.39075685654008402</v>
      </c>
    </row>
    <row r="83" spans="1:7" x14ac:dyDescent="0.3">
      <c r="A83" s="1" t="s">
        <v>333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 s="13">
        <f t="shared" si="14"/>
        <v>40</v>
      </c>
      <c r="G83" s="14">
        <f t="shared" si="15"/>
        <v>0.54713623850130899</v>
      </c>
    </row>
    <row r="84" spans="1:7" x14ac:dyDescent="0.3">
      <c r="A84" s="1" t="s">
        <v>337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 s="13">
        <f t="shared" si="14"/>
        <v>41</v>
      </c>
      <c r="G84" s="14">
        <f t="shared" si="15"/>
        <v>0.61457229509993805</v>
      </c>
    </row>
    <row r="85" spans="1:7" x14ac:dyDescent="0.3">
      <c r="A85" s="1" t="s">
        <v>339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 s="13">
        <f t="shared" si="14"/>
        <v>42</v>
      </c>
      <c r="G85" s="14">
        <f t="shared" si="15"/>
        <v>0.55335578460387103</v>
      </c>
    </row>
    <row r="86" spans="1:7" x14ac:dyDescent="0.3">
      <c r="A86" s="1" t="s">
        <v>342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 s="13">
        <f t="shared" si="14"/>
        <v>43</v>
      </c>
      <c r="G86" s="14">
        <f t="shared" si="15"/>
        <v>0.611363636363636</v>
      </c>
    </row>
    <row r="87" spans="1:7" x14ac:dyDescent="0.3">
      <c r="A87" s="1" t="s">
        <v>345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 s="13">
        <f t="shared" si="14"/>
        <v>44</v>
      </c>
      <c r="G87" s="14">
        <f t="shared" si="15"/>
        <v>0.51217732689434703</v>
      </c>
    </row>
    <row r="88" spans="1:7" x14ac:dyDescent="0.3">
      <c r="A88" s="1" t="s">
        <v>350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 s="13">
        <f t="shared" si="14"/>
        <v>45</v>
      </c>
      <c r="G88" s="14">
        <f t="shared" si="15"/>
        <v>0.56029910728991705</v>
      </c>
    </row>
    <row r="89" spans="1:7" x14ac:dyDescent="0.3">
      <c r="A89" s="1" t="s">
        <v>354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 s="13">
        <f t="shared" si="14"/>
        <v>46</v>
      </c>
      <c r="G89" s="14">
        <f t="shared" si="15"/>
        <v>0.42891793558819602</v>
      </c>
    </row>
    <row r="90" spans="1:7" x14ac:dyDescent="0.3">
      <c r="A90" s="1" t="s">
        <v>360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 s="13">
        <f t="shared" si="14"/>
        <v>47</v>
      </c>
      <c r="G90" s="14">
        <f t="shared" si="15"/>
        <v>9.4547987000066294E-2</v>
      </c>
    </row>
    <row r="91" spans="1:7" x14ac:dyDescent="0.3">
      <c r="A91" s="1" t="s">
        <v>367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 s="13">
        <f t="shared" si="14"/>
        <v>48</v>
      </c>
      <c r="G91" s="14">
        <f t="shared" si="15"/>
        <v>0.61021533340268397</v>
      </c>
    </row>
    <row r="92" spans="1:7" x14ac:dyDescent="0.3">
      <c r="A92" s="1" t="s">
        <v>371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 s="13">
        <f t="shared" si="14"/>
        <v>49</v>
      </c>
      <c r="G92" s="14">
        <f t="shared" si="15"/>
        <v>0.51260926353863201</v>
      </c>
    </row>
    <row r="93" spans="1:7" x14ac:dyDescent="0.3">
      <c r="A93" s="1" t="s">
        <v>374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 s="13">
        <f t="shared" si="14"/>
        <v>50</v>
      </c>
      <c r="G93" s="14">
        <f t="shared" si="15"/>
        <v>0.62426796562859199</v>
      </c>
    </row>
    <row r="94" spans="1:7" x14ac:dyDescent="0.3">
      <c r="A94" s="1" t="s">
        <v>379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 s="13">
        <f t="shared" si="14"/>
        <v>51</v>
      </c>
      <c r="G94" s="14">
        <f t="shared" si="15"/>
        <v>0.54373153085832704</v>
      </c>
    </row>
    <row r="95" spans="1:7" x14ac:dyDescent="0.3">
      <c r="A95" s="1" t="s">
        <v>381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 s="13">
        <f t="shared" si="14"/>
        <v>52</v>
      </c>
      <c r="G95" s="14">
        <f t="shared" si="15"/>
        <v>0</v>
      </c>
    </row>
    <row r="96" spans="1:7" x14ac:dyDescent="0.3">
      <c r="A96" s="1" t="s">
        <v>386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 s="13">
        <f t="shared" si="14"/>
        <v>53</v>
      </c>
      <c r="G96" s="14">
        <f t="shared" si="15"/>
        <v>0.14431174927516199</v>
      </c>
    </row>
    <row r="97" spans="1:7" x14ac:dyDescent="0.3">
      <c r="A97" s="1" t="s">
        <v>391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 s="13">
        <f t="shared" si="14"/>
        <v>54</v>
      </c>
      <c r="G97" s="14">
        <f t="shared" si="15"/>
        <v>0.55259293866381898</v>
      </c>
    </row>
    <row r="98" spans="1:7" x14ac:dyDescent="0.3">
      <c r="A98" s="1" t="s">
        <v>396</v>
      </c>
      <c r="B98" t="str">
        <f t="shared" si="16"/>
        <v>Rashid</v>
      </c>
      <c r="C98" s="11">
        <f t="shared" ref="C98:C129" si="17">TIMEVALUE(VLOOKUP(A98,Edata,2,0))</f>
        <v>0.33483796296296298</v>
      </c>
      <c r="D98" s="11">
        <f t="shared" ref="D98:D129" si="18">TIMEVALUE(VLOOKUP(A98,Edata,3,0))</f>
        <v>6.6759259259259254E-2</v>
      </c>
      <c r="E98" s="11">
        <f t="shared" ref="E98:E129" si="19">TIMEVALUE(VLOOKUP(A98,Bdata,9,0))</f>
        <v>0.23973379629629629</v>
      </c>
      <c r="F98" s="13">
        <f t="shared" ref="F98:F129" si="20">VLOOKUP(A98,Edata,4,0)</f>
        <v>55</v>
      </c>
      <c r="G98" s="14">
        <f t="shared" ref="G98:G129" si="21">VLOOKUP(A98,Edata,6,0)</f>
        <v>0.18938817836156199</v>
      </c>
    </row>
    <row r="99" spans="1:7" x14ac:dyDescent="0.3">
      <c r="A99" s="1" t="s">
        <v>400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 s="13">
        <f t="shared" si="20"/>
        <v>56</v>
      </c>
      <c r="G99" s="14">
        <f t="shared" si="21"/>
        <v>0.47077424938419499</v>
      </c>
    </row>
    <row r="100" spans="1:7" x14ac:dyDescent="0.3">
      <c r="A100" s="1" t="s">
        <v>405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 s="13">
        <f t="shared" si="20"/>
        <v>57</v>
      </c>
      <c r="G100" s="14">
        <f t="shared" si="21"/>
        <v>0.53862155040909698</v>
      </c>
    </row>
    <row r="101" spans="1:7" x14ac:dyDescent="0.3">
      <c r="A101" s="1" t="s">
        <v>407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 s="13">
        <f t="shared" si="20"/>
        <v>58</v>
      </c>
      <c r="G101" s="14">
        <f t="shared" si="21"/>
        <v>0.53294365856189296</v>
      </c>
    </row>
    <row r="102" spans="1:7" x14ac:dyDescent="0.3">
      <c r="A102" s="1" t="s">
        <v>410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 s="13">
        <f t="shared" si="20"/>
        <v>59</v>
      </c>
      <c r="G102" s="14">
        <f t="shared" si="21"/>
        <v>0.41310286360211002</v>
      </c>
    </row>
    <row r="103" spans="1:7" x14ac:dyDescent="0.3">
      <c r="A103" s="1" t="s">
        <v>415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 s="13">
        <f t="shared" si="20"/>
        <v>60</v>
      </c>
      <c r="G103" s="14">
        <f t="shared" si="21"/>
        <v>0.50483838451717</v>
      </c>
    </row>
    <row r="104" spans="1:7" x14ac:dyDescent="0.3">
      <c r="A104" s="1" t="s">
        <v>418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 s="13">
        <f t="shared" si="20"/>
        <v>61</v>
      </c>
      <c r="G104" s="14">
        <f t="shared" si="21"/>
        <v>0.52390558805729304</v>
      </c>
    </row>
    <row r="105" spans="1:7" x14ac:dyDescent="0.3">
      <c r="A105" s="1" t="s">
        <v>423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 s="13">
        <f t="shared" si="20"/>
        <v>62</v>
      </c>
      <c r="G105" s="14">
        <f t="shared" si="21"/>
        <v>0.25444780127559602</v>
      </c>
    </row>
    <row r="106" spans="1:7" x14ac:dyDescent="0.3">
      <c r="A106" s="1" t="s">
        <v>429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 s="13">
        <f t="shared" si="20"/>
        <v>63</v>
      </c>
      <c r="G106" s="14">
        <f t="shared" si="21"/>
        <v>0.55517503805174995</v>
      </c>
    </row>
    <row r="107" spans="1:7" x14ac:dyDescent="0.3">
      <c r="A107" s="1" t="s">
        <v>433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 s="13">
        <f t="shared" si="20"/>
        <v>64</v>
      </c>
      <c r="G107" s="14">
        <f t="shared" si="21"/>
        <v>0</v>
      </c>
    </row>
    <row r="108" spans="1:7" x14ac:dyDescent="0.3">
      <c r="A108" s="1" t="s">
        <v>437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 s="13">
        <f t="shared" si="20"/>
        <v>65</v>
      </c>
      <c r="G108" s="14">
        <f t="shared" si="21"/>
        <v>0.477120667047709</v>
      </c>
    </row>
    <row r="109" spans="1:7" x14ac:dyDescent="0.3">
      <c r="A109" s="1" t="s">
        <v>440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 s="13">
        <f t="shared" si="20"/>
        <v>66</v>
      </c>
      <c r="G109" s="14">
        <f t="shared" si="21"/>
        <v>0.61917030852521004</v>
      </c>
    </row>
    <row r="110" spans="1:7" x14ac:dyDescent="0.3">
      <c r="A110" s="1" t="s">
        <v>444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 s="13">
        <f t="shared" si="20"/>
        <v>67</v>
      </c>
      <c r="G110" s="14">
        <f t="shared" si="21"/>
        <v>0.55305265350039901</v>
      </c>
    </row>
    <row r="111" spans="1:7" x14ac:dyDescent="0.3">
      <c r="A111" s="1" t="s">
        <v>446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 s="13">
        <f t="shared" si="20"/>
        <v>68</v>
      </c>
      <c r="G111" s="14">
        <f t="shared" si="21"/>
        <v>0.56195374478956595</v>
      </c>
    </row>
    <row r="112" spans="1:7" x14ac:dyDescent="0.3">
      <c r="A112" s="1" t="s">
        <v>450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 s="13">
        <f t="shared" si="20"/>
        <v>69</v>
      </c>
      <c r="G112" s="14">
        <f t="shared" si="21"/>
        <v>0.48780077967468699</v>
      </c>
    </row>
    <row r="113" spans="1:7" x14ac:dyDescent="0.3">
      <c r="A113" s="1" t="s">
        <v>454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 s="13">
        <f t="shared" si="20"/>
        <v>70</v>
      </c>
      <c r="G113" s="14">
        <f t="shared" si="21"/>
        <v>0.55414762032804499</v>
      </c>
    </row>
    <row r="114" spans="1:7" x14ac:dyDescent="0.3">
      <c r="A114" s="1" t="s">
        <v>457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 s="13">
        <f t="shared" si="20"/>
        <v>71</v>
      </c>
      <c r="G114" s="14">
        <f t="shared" si="21"/>
        <v>0.58651553374572396</v>
      </c>
    </row>
    <row r="115" spans="1:7" x14ac:dyDescent="0.3">
      <c r="A115" s="1" t="s">
        <v>461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 s="13">
        <f t="shared" si="20"/>
        <v>72</v>
      </c>
      <c r="G115" s="14">
        <f t="shared" si="21"/>
        <v>0.58165871362322696</v>
      </c>
    </row>
    <row r="116" spans="1:7" x14ac:dyDescent="0.3">
      <c r="A116" s="1" t="s">
        <v>464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 s="13">
        <f t="shared" si="20"/>
        <v>73</v>
      </c>
      <c r="G116" s="14">
        <f t="shared" si="21"/>
        <v>0.59073251942286398</v>
      </c>
    </row>
    <row r="117" spans="1:7" x14ac:dyDescent="0.3">
      <c r="A117" s="1" t="s">
        <v>466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 s="13">
        <f t="shared" si="20"/>
        <v>74</v>
      </c>
      <c r="G117" s="14">
        <f t="shared" si="21"/>
        <v>0.58640692060085797</v>
      </c>
    </row>
    <row r="118" spans="1:7" x14ac:dyDescent="0.3">
      <c r="A118" s="1" t="s">
        <v>468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 s="13">
        <f t="shared" si="20"/>
        <v>75</v>
      </c>
      <c r="G118" s="14">
        <f t="shared" si="21"/>
        <v>0.54653369681493502</v>
      </c>
    </row>
    <row r="119" spans="1:7" x14ac:dyDescent="0.3">
      <c r="A119" s="1" t="s">
        <v>472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 s="13">
        <f t="shared" si="20"/>
        <v>76</v>
      </c>
      <c r="G119" s="14">
        <f t="shared" si="21"/>
        <v>0.53238796723342696</v>
      </c>
    </row>
    <row r="120" spans="1:7" x14ac:dyDescent="0.3">
      <c r="A120" s="1" t="s">
        <v>476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 s="13">
        <f t="shared" si="20"/>
        <v>77</v>
      </c>
      <c r="G120" s="14">
        <f t="shared" si="21"/>
        <v>0.47020989660776702</v>
      </c>
    </row>
    <row r="121" spans="1:7" x14ac:dyDescent="0.3">
      <c r="A121" s="1" t="s">
        <v>481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 s="13">
        <f t="shared" si="20"/>
        <v>78</v>
      </c>
      <c r="G121" s="14">
        <f t="shared" si="21"/>
        <v>0.54633099407235797</v>
      </c>
    </row>
    <row r="122" spans="1:7" x14ac:dyDescent="0.3">
      <c r="A122" s="1" t="s">
        <v>484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 s="13">
        <f t="shared" si="20"/>
        <v>79</v>
      </c>
      <c r="G122" s="14">
        <f t="shared" si="21"/>
        <v>0.38820416638756799</v>
      </c>
    </row>
    <row r="123" spans="1:7" x14ac:dyDescent="0.3">
      <c r="A123" s="1" t="s">
        <v>488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 s="13">
        <f t="shared" si="20"/>
        <v>80</v>
      </c>
      <c r="G123" s="14">
        <f t="shared" si="21"/>
        <v>0.40277584042404802</v>
      </c>
    </row>
    <row r="124" spans="1:7" x14ac:dyDescent="0.3">
      <c r="A124" s="1" t="s">
        <v>494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 s="13">
        <f t="shared" si="20"/>
        <v>81</v>
      </c>
      <c r="G124" s="14">
        <f t="shared" si="21"/>
        <v>0.54352584610203702</v>
      </c>
    </row>
    <row r="125" spans="1:7" x14ac:dyDescent="0.3">
      <c r="A125" s="1" t="s">
        <v>495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 s="13">
        <f t="shared" si="20"/>
        <v>82</v>
      </c>
      <c r="G125" s="14">
        <f t="shared" si="21"/>
        <v>0.28371986821932998</v>
      </c>
    </row>
    <row r="126" spans="1:7" x14ac:dyDescent="0.3">
      <c r="A126" s="1" t="s">
        <v>498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 s="13">
        <f t="shared" si="20"/>
        <v>83</v>
      </c>
      <c r="G126" s="14">
        <f t="shared" si="21"/>
        <v>0.56196890539434796</v>
      </c>
    </row>
    <row r="127" spans="1:7" x14ac:dyDescent="0.3">
      <c r="A127" s="1" t="s">
        <v>502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 s="13">
        <f t="shared" si="20"/>
        <v>84</v>
      </c>
      <c r="G127" s="14">
        <f t="shared" si="21"/>
        <v>0.40332201825791802</v>
      </c>
    </row>
    <row r="128" spans="1:7" x14ac:dyDescent="0.3">
      <c r="A128" s="1" t="s">
        <v>507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 s="13">
        <f t="shared" si="20"/>
        <v>85</v>
      </c>
      <c r="G128" s="14">
        <f t="shared" si="21"/>
        <v>0.43796610169491501</v>
      </c>
    </row>
    <row r="129" spans="1:7" x14ac:dyDescent="0.3">
      <c r="A129" s="1" t="s">
        <v>511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 s="13">
        <f t="shared" si="20"/>
        <v>86</v>
      </c>
      <c r="G129" s="14">
        <f t="shared" si="21"/>
        <v>0.55581995508931903</v>
      </c>
    </row>
    <row r="130" spans="1:7" x14ac:dyDescent="0.3">
      <c r="A130" s="1" t="s">
        <v>515</v>
      </c>
      <c r="B130" t="str">
        <f t="shared" si="16"/>
        <v>Shyamal Malakar</v>
      </c>
      <c r="C130" s="11">
        <f t="shared" ref="C130:C150" si="22">TIMEVALUE(VLOOKUP(A130,Edata,2,0))</f>
        <v>0.34416666666666668</v>
      </c>
      <c r="D130" s="11">
        <f t="shared" ref="D130:D150" si="23">TIMEVALUE(VLOOKUP(A130,Edata,3,0))</f>
        <v>0.12054398148148149</v>
      </c>
      <c r="E130" s="11">
        <f t="shared" ref="E130:E150" si="24">TIMEVALUE(VLOOKUP(A130,Bdata,9,0))</f>
        <v>0.19140046296296295</v>
      </c>
      <c r="F130" s="13">
        <f t="shared" ref="F130:F150" si="25">VLOOKUP(A130,Edata,4,0)</f>
        <v>87</v>
      </c>
      <c r="G130" s="14">
        <f t="shared" ref="G130:G150" si="26">VLOOKUP(A130,Edata,6,0)</f>
        <v>0.326035781544256</v>
      </c>
    </row>
    <row r="131" spans="1:7" x14ac:dyDescent="0.3">
      <c r="A131" s="1" t="s">
        <v>520</v>
      </c>
      <c r="B131" t="str">
        <f t="shared" ref="B131:B150" si="27">MID(A131,FIND("_",A131,1)+1,FIND("(",A131,1)-FIND("_",A131,1)-2)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 s="13">
        <f t="shared" si="25"/>
        <v>88</v>
      </c>
      <c r="G131" s="14">
        <f t="shared" si="26"/>
        <v>0.57404190086867701</v>
      </c>
    </row>
    <row r="132" spans="1:7" x14ac:dyDescent="0.3">
      <c r="A132" s="1" t="s">
        <v>523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 s="13">
        <f t="shared" si="25"/>
        <v>89</v>
      </c>
      <c r="G132" s="14">
        <f t="shared" si="26"/>
        <v>0.45359037481363301</v>
      </c>
    </row>
    <row r="133" spans="1:7" x14ac:dyDescent="0.3">
      <c r="A133" s="1" t="s">
        <v>526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 s="13">
        <f t="shared" si="25"/>
        <v>90</v>
      </c>
      <c r="G133" s="14">
        <f t="shared" si="26"/>
        <v>0.29689998979140397</v>
      </c>
    </row>
    <row r="134" spans="1:7" x14ac:dyDescent="0.3">
      <c r="A134" s="1" t="s">
        <v>530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 s="13">
        <f t="shared" si="25"/>
        <v>91</v>
      </c>
      <c r="G134" s="14">
        <f t="shared" si="26"/>
        <v>0.55729058227496697</v>
      </c>
    </row>
    <row r="135" spans="1:7" x14ac:dyDescent="0.3">
      <c r="A135" s="1" t="s">
        <v>534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 s="13">
        <f t="shared" si="25"/>
        <v>92</v>
      </c>
      <c r="G135" s="14">
        <f t="shared" si="26"/>
        <v>0.33279321519685601</v>
      </c>
    </row>
    <row r="136" spans="1:7" x14ac:dyDescent="0.3">
      <c r="A136" s="1" t="s">
        <v>540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 s="13">
        <f t="shared" si="25"/>
        <v>93</v>
      </c>
      <c r="G136" s="14">
        <f t="shared" si="26"/>
        <v>0.472308115165258</v>
      </c>
    </row>
    <row r="137" spans="1:7" x14ac:dyDescent="0.3">
      <c r="A137" s="1" t="s">
        <v>544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 s="13">
        <f t="shared" si="25"/>
        <v>94</v>
      </c>
      <c r="G137" s="14">
        <f t="shared" si="26"/>
        <v>0.51110729613733896</v>
      </c>
    </row>
    <row r="138" spans="1:7" x14ac:dyDescent="0.3">
      <c r="A138" s="1" t="s">
        <v>549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 s="13">
        <f t="shared" si="25"/>
        <v>95</v>
      </c>
      <c r="G138" s="14">
        <f t="shared" si="26"/>
        <v>0.58886040078267299</v>
      </c>
    </row>
    <row r="139" spans="1:7" x14ac:dyDescent="0.3">
      <c r="A139" s="1" t="s">
        <v>553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 s="13">
        <f t="shared" si="25"/>
        <v>96</v>
      </c>
      <c r="G139" s="14">
        <f t="shared" si="26"/>
        <v>0.34289424860853401</v>
      </c>
    </row>
    <row r="140" spans="1:7" x14ac:dyDescent="0.3">
      <c r="A140" s="1" t="s">
        <v>557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 s="13">
        <f t="shared" si="25"/>
        <v>97</v>
      </c>
      <c r="G140" s="14">
        <f t="shared" si="26"/>
        <v>0.497486459313074</v>
      </c>
    </row>
    <row r="141" spans="1:7" x14ac:dyDescent="0.3">
      <c r="A141" s="1" t="s">
        <v>560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 s="13">
        <f t="shared" si="25"/>
        <v>98</v>
      </c>
      <c r="G141" s="14">
        <f t="shared" si="26"/>
        <v>0.52431431936732298</v>
      </c>
    </row>
    <row r="142" spans="1:7" x14ac:dyDescent="0.3">
      <c r="A142" s="1" t="s">
        <v>562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 s="13">
        <f t="shared" si="25"/>
        <v>99</v>
      </c>
      <c r="G142" s="14">
        <f t="shared" si="26"/>
        <v>0.31066956086157999</v>
      </c>
    </row>
    <row r="143" spans="1:7" x14ac:dyDescent="0.3">
      <c r="A143" s="1" t="s">
        <v>568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 s="13">
        <f t="shared" si="25"/>
        <v>100</v>
      </c>
      <c r="G143" s="14">
        <f t="shared" si="26"/>
        <v>0.58462473412336702</v>
      </c>
    </row>
    <row r="144" spans="1:7" x14ac:dyDescent="0.3">
      <c r="A144" s="1" t="s">
        <v>570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 s="13">
        <f t="shared" si="25"/>
        <v>101</v>
      </c>
      <c r="G144" s="14">
        <f t="shared" si="26"/>
        <v>0.31685816164817698</v>
      </c>
    </row>
    <row r="145" spans="1:7" x14ac:dyDescent="0.3">
      <c r="A145" s="1" t="s">
        <v>575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 s="13">
        <f t="shared" si="25"/>
        <v>102</v>
      </c>
      <c r="G145" s="14">
        <f t="shared" si="26"/>
        <v>0.56375322197301903</v>
      </c>
    </row>
    <row r="146" spans="1:7" x14ac:dyDescent="0.3">
      <c r="A146" s="1" t="s">
        <v>577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 s="13">
        <f t="shared" si="25"/>
        <v>103</v>
      </c>
      <c r="G146" s="14">
        <f t="shared" si="26"/>
        <v>0.54779147908918902</v>
      </c>
    </row>
    <row r="147" spans="1:7" x14ac:dyDescent="0.3">
      <c r="A147" s="1" t="s">
        <v>580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 s="13">
        <f t="shared" si="25"/>
        <v>104</v>
      </c>
      <c r="G147" s="14">
        <f t="shared" si="26"/>
        <v>0.37965983593576802</v>
      </c>
    </row>
    <row r="148" spans="1:7" x14ac:dyDescent="0.3">
      <c r="A148" s="1" t="s">
        <v>586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 s="13">
        <f t="shared" si="25"/>
        <v>105</v>
      </c>
      <c r="G148" s="14">
        <f t="shared" si="26"/>
        <v>0.56529498922413801</v>
      </c>
    </row>
    <row r="149" spans="1:7" x14ac:dyDescent="0.3">
      <c r="A149" s="1" t="s">
        <v>590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 s="13">
        <f t="shared" si="25"/>
        <v>106</v>
      </c>
      <c r="G149" s="14">
        <f t="shared" si="26"/>
        <v>0.60261183662128404</v>
      </c>
    </row>
    <row r="150" spans="1:7" x14ac:dyDescent="0.3">
      <c r="A150" s="1" t="s">
        <v>592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 s="13">
        <f t="shared" si="25"/>
        <v>107</v>
      </c>
      <c r="G150" s="14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32D-FD76-4EE1-A282-3A0BDFA8EDC5}">
  <sheetPr codeName="Sheet4"/>
  <dimension ref="A1:N13"/>
  <sheetViews>
    <sheetView showGridLines="0" tabSelected="1" zoomScaleNormal="112" workbookViewId="0">
      <selection activeCell="O15" sqref="O15"/>
    </sheetView>
  </sheetViews>
  <sheetFormatPr defaultRowHeight="14.4" x14ac:dyDescent="0.3"/>
  <cols>
    <col min="1" max="1" width="13.21875" bestFit="1" customWidth="1"/>
    <col min="2" max="2" width="36.6640625" bestFit="1" customWidth="1"/>
    <col min="3" max="3" width="4.5546875" style="19" customWidth="1"/>
    <col min="5" max="5" width="13.21875" bestFit="1" customWidth="1"/>
    <col min="6" max="6" width="20.21875" bestFit="1" customWidth="1"/>
    <col min="10" max="10" width="13.44140625" bestFit="1" customWidth="1"/>
    <col min="11" max="11" width="16.44140625" bestFit="1" customWidth="1"/>
    <col min="12" max="12" width="18" bestFit="1" customWidth="1"/>
    <col min="14" max="14" width="8.88671875" style="19"/>
  </cols>
  <sheetData>
    <row r="1" spans="1:14" x14ac:dyDescent="0.3">
      <c r="A1" s="21"/>
      <c r="B1" s="21"/>
      <c r="C1" s="18">
        <v>7</v>
      </c>
      <c r="D1" s="20"/>
      <c r="E1" s="20"/>
      <c r="F1" s="20"/>
      <c r="G1" s="20"/>
      <c r="H1" s="20"/>
      <c r="J1" s="20"/>
      <c r="K1" s="20"/>
      <c r="L1" s="20"/>
      <c r="M1" s="20"/>
      <c r="N1" s="22"/>
    </row>
    <row r="2" spans="1:14" x14ac:dyDescent="0.3">
      <c r="A2" s="21"/>
      <c r="B2" s="21"/>
      <c r="C2" s="18">
        <v>5</v>
      </c>
      <c r="D2" s="20"/>
      <c r="E2" s="20"/>
      <c r="F2" s="20"/>
      <c r="G2" s="20"/>
      <c r="H2" s="20"/>
      <c r="J2" s="20"/>
      <c r="K2" s="20"/>
      <c r="L2" s="20"/>
      <c r="M2" s="20"/>
      <c r="N2" s="22"/>
    </row>
    <row r="3" spans="1:14" x14ac:dyDescent="0.3">
      <c r="A3" s="21"/>
      <c r="B3" s="21"/>
      <c r="C3" s="24">
        <v>5</v>
      </c>
      <c r="D3" s="20"/>
      <c r="E3" s="20"/>
      <c r="F3" s="20"/>
      <c r="G3" s="20"/>
      <c r="H3" s="20"/>
      <c r="J3" s="20"/>
      <c r="K3" s="20"/>
      <c r="L3" s="20"/>
      <c r="M3" s="20"/>
      <c r="N3" s="22"/>
    </row>
    <row r="4" spans="1:14" ht="18" x14ac:dyDescent="0.35">
      <c r="A4" s="26" t="s">
        <v>1011</v>
      </c>
      <c r="B4" s="26"/>
      <c r="D4" s="25" t="s">
        <v>1015</v>
      </c>
      <c r="E4" s="25"/>
      <c r="F4" s="25"/>
      <c r="G4" s="25"/>
      <c r="H4" s="25"/>
      <c r="J4" s="25" t="s">
        <v>1019</v>
      </c>
      <c r="K4" s="25"/>
      <c r="L4" s="25"/>
      <c r="M4" s="25"/>
      <c r="N4" s="23"/>
    </row>
    <row r="5" spans="1:14" x14ac:dyDescent="0.3">
      <c r="A5" s="15" t="s">
        <v>1003</v>
      </c>
      <c r="B5" t="s">
        <v>1010</v>
      </c>
      <c r="E5" s="15" t="s">
        <v>1003</v>
      </c>
      <c r="F5" t="s">
        <v>1014</v>
      </c>
      <c r="K5" s="15" t="s">
        <v>1003</v>
      </c>
      <c r="L5" t="s">
        <v>1016</v>
      </c>
    </row>
    <row r="6" spans="1:14" x14ac:dyDescent="0.3">
      <c r="A6" s="16" t="s">
        <v>1017</v>
      </c>
      <c r="B6" s="11">
        <v>0.38646990740740739</v>
      </c>
      <c r="E6" s="16" t="s">
        <v>1005</v>
      </c>
      <c r="F6" s="17">
        <v>2.0905948641136138</v>
      </c>
      <c r="K6" s="16" t="s">
        <v>1005</v>
      </c>
      <c r="L6" s="13">
        <v>322</v>
      </c>
    </row>
    <row r="7" spans="1:14" x14ac:dyDescent="0.3">
      <c r="A7" s="16" t="s">
        <v>1005</v>
      </c>
      <c r="B7" s="11">
        <v>1.3668402777777779</v>
      </c>
      <c r="E7" s="16" t="s">
        <v>1006</v>
      </c>
      <c r="F7" s="17">
        <v>1.064298009533315</v>
      </c>
      <c r="K7" s="16" t="s">
        <v>1008</v>
      </c>
      <c r="L7" s="13">
        <v>222</v>
      </c>
    </row>
    <row r="8" spans="1:14" x14ac:dyDescent="0.3">
      <c r="A8" s="16" t="s">
        <v>1006</v>
      </c>
      <c r="B8" s="11">
        <v>0.66396990740740747</v>
      </c>
      <c r="E8" s="16" t="s">
        <v>1007</v>
      </c>
      <c r="F8" s="17">
        <v>1.122824596941316</v>
      </c>
      <c r="K8" s="16" t="s">
        <v>1009</v>
      </c>
      <c r="L8" s="13">
        <v>185</v>
      </c>
    </row>
    <row r="9" spans="1:14" x14ac:dyDescent="0.3">
      <c r="A9" s="16" t="s">
        <v>1007</v>
      </c>
      <c r="B9" s="11">
        <v>0.67937500000000006</v>
      </c>
      <c r="E9" s="16" t="s">
        <v>1008</v>
      </c>
      <c r="F9" s="17">
        <v>1.7236731368386569</v>
      </c>
      <c r="K9" s="16" t="s">
        <v>1012</v>
      </c>
      <c r="L9" s="13">
        <v>106</v>
      </c>
    </row>
    <row r="10" spans="1:14" x14ac:dyDescent="0.3">
      <c r="A10" s="16" t="s">
        <v>1008</v>
      </c>
      <c r="B10" s="11">
        <v>1.0142939814814815</v>
      </c>
      <c r="E10" s="16" t="s">
        <v>1009</v>
      </c>
      <c r="F10" s="17">
        <v>0.80510133036211395</v>
      </c>
      <c r="K10" s="16" t="s">
        <v>1013</v>
      </c>
      <c r="L10" s="13">
        <v>107</v>
      </c>
    </row>
    <row r="11" spans="1:14" x14ac:dyDescent="0.3">
      <c r="A11" s="16" t="s">
        <v>1018</v>
      </c>
      <c r="B11" s="11">
        <v>0.36775462962962963</v>
      </c>
      <c r="E11" s="16" t="s">
        <v>1004</v>
      </c>
      <c r="F11" s="17">
        <v>6.8064919377890156</v>
      </c>
      <c r="K11" s="16" t="s">
        <v>1004</v>
      </c>
      <c r="L11" s="13">
        <v>942</v>
      </c>
    </row>
    <row r="12" spans="1:14" x14ac:dyDescent="0.3">
      <c r="A12" s="16" t="s">
        <v>1009</v>
      </c>
      <c r="B12" s="11">
        <v>0.67259259259259263</v>
      </c>
    </row>
    <row r="13" spans="1:14" x14ac:dyDescent="0.3">
      <c r="A13" s="16" t="s">
        <v>1004</v>
      </c>
      <c r="B13" s="11">
        <v>5.1512962962962972</v>
      </c>
    </row>
  </sheetData>
  <mergeCells count="3">
    <mergeCell ref="J4:M4"/>
    <mergeCell ref="A4:B4"/>
    <mergeCell ref="D4:H4"/>
  </mergeCell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Spinner 3">
              <controlPr defaultSize="0" autoPict="0" macro="[0]!Spinner3_code">
                <anchor moveWithCells="1" sizeWithCells="1">
                  <from>
                    <xdr:col>1</xdr:col>
                    <xdr:colOff>822960</xdr:colOff>
                    <xdr:row>0</xdr:row>
                    <xdr:rowOff>121920</xdr:rowOff>
                  </from>
                  <to>
                    <xdr:col>1</xdr:col>
                    <xdr:colOff>944880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pinner 4">
              <controlPr defaultSize="0" autoPict="0" macro="[0]!Show_chart1">
                <anchor moveWithCells="1" sizeWithCells="1">
                  <from>
                    <xdr:col>2</xdr:col>
                    <xdr:colOff>106680</xdr:colOff>
                    <xdr:row>11</xdr:row>
                    <xdr:rowOff>129540</xdr:rowOff>
                  </from>
                  <to>
                    <xdr:col>2</xdr:col>
                    <xdr:colOff>243840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Spinner 8">
              <controlPr defaultSize="0" autoPict="0" macro="[0]!Macro1">
                <anchor moveWithCells="1" sizeWithCells="1">
                  <from>
                    <xdr:col>5</xdr:col>
                    <xdr:colOff>815340</xdr:colOff>
                    <xdr:row>0</xdr:row>
                    <xdr:rowOff>152400</xdr:rowOff>
                  </from>
                  <to>
                    <xdr:col>5</xdr:col>
                    <xdr:colOff>929640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Spinner 9">
              <controlPr defaultSize="0" autoPict="0" macro="[0]!Macro1">
                <anchor moveWithCells="1" sizeWithCells="1">
                  <from>
                    <xdr:col>7</xdr:col>
                    <xdr:colOff>327660</xdr:colOff>
                    <xdr:row>11</xdr:row>
                    <xdr:rowOff>160020</xdr:rowOff>
                  </from>
                  <to>
                    <xdr:col>7</xdr:col>
                    <xdr:colOff>472440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Spinner 10">
              <controlPr defaultSize="0" autoPict="0" macro="[0]!Macro1">
                <anchor moveWithCells="1" sizeWithCells="1">
                  <from>
                    <xdr:col>11</xdr:col>
                    <xdr:colOff>815340</xdr:colOff>
                    <xdr:row>0</xdr:row>
                    <xdr:rowOff>152400</xdr:rowOff>
                  </from>
                  <to>
                    <xdr:col>11</xdr:col>
                    <xdr:colOff>929640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Spinner 12">
              <controlPr defaultSize="0" autoPict="0" macro="[0]!Spinner12_code">
                <anchor moveWithCells="1" sizeWithCells="1">
                  <from>
                    <xdr:col>10</xdr:col>
                    <xdr:colOff>944880</xdr:colOff>
                    <xdr:row>0</xdr:row>
                    <xdr:rowOff>121920</xdr:rowOff>
                  </from>
                  <to>
                    <xdr:col>10</xdr:col>
                    <xdr:colOff>1059180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Spinner 13">
              <controlPr defaultSize="0" autoPict="0" macro="[0]!Spinner12_code">
                <anchor moveWithCells="1" sizeWithCells="1">
                  <from>
                    <xdr:col>12</xdr:col>
                    <xdr:colOff>358140</xdr:colOff>
                    <xdr:row>11</xdr:row>
                    <xdr:rowOff>152400</xdr:rowOff>
                  </from>
                  <to>
                    <xdr:col>12</xdr:col>
                    <xdr:colOff>510540</xdr:colOff>
                    <xdr:row>13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MANSI</dc:creator>
  <cp:lastModifiedBy>mansi gupta</cp:lastModifiedBy>
  <dcterms:created xsi:type="dcterms:W3CDTF">2015-06-05T18:17:20Z</dcterms:created>
  <dcterms:modified xsi:type="dcterms:W3CDTF">2026-09-14T05:08:13Z</dcterms:modified>
</cp:coreProperties>
</file>